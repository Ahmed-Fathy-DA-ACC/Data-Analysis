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AHMED\depi\Week 6\S1\"/>
    </mc:Choice>
  </mc:AlternateContent>
  <xr:revisionPtr revIDLastSave="0" documentId="13_ncr:1_{4F84CE07-3E30-4088-BB2F-25B39547161A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1" sheetId="2" r:id="rId1"/>
    <sheet name="2" sheetId="3" r:id="rId2"/>
    <sheet name="3" sheetId="4" r:id="rId3"/>
    <sheet name="4" sheetId="5" r:id="rId4"/>
    <sheet name="5" sheetId="6" r:id="rId5"/>
    <sheet name="Sheet1" sheetId="7" r:id="rId6"/>
    <sheet name="Sheet4" sheetId="10" r:id="rId7"/>
    <sheet name="DATA VIS" sheetId="8" r:id="rId8"/>
  </sheets>
  <definedNames>
    <definedName name="_xlnm._FilterDatabase" localSheetId="0" hidden="1">'1'!$A$3:$B$25</definedName>
    <definedName name="_xlchart.v1.0" hidden="1">Sheet4!$A$2:$A$9</definedName>
    <definedName name="_xlchart.v1.1" hidden="1">Sheet4!$D$1</definedName>
    <definedName name="_xlchart.v1.2" hidden="1">Sheet4!$D$2:$D$9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7" l="1"/>
  <c r="M10" i="7"/>
  <c r="O22" i="7"/>
  <c r="S19" i="7"/>
  <c r="K34" i="7"/>
  <c r="J33" i="7"/>
  <c r="J34" i="7"/>
  <c r="J32" i="7"/>
  <c r="G23" i="7"/>
  <c r="G24" i="7"/>
  <c r="G25" i="7"/>
  <c r="G22" i="7"/>
  <c r="R20" i="7"/>
  <c r="R21" i="7"/>
  <c r="R22" i="7"/>
  <c r="R19" i="7"/>
  <c r="Q20" i="7"/>
  <c r="Q21" i="7"/>
  <c r="Q22" i="7"/>
  <c r="Q19" i="7"/>
  <c r="P20" i="7"/>
  <c r="P21" i="7"/>
  <c r="P22" i="7"/>
  <c r="P19" i="7"/>
  <c r="O20" i="7"/>
  <c r="O21" i="7"/>
  <c r="O19" i="7"/>
  <c r="H15" i="7"/>
  <c r="H11" i="7"/>
  <c r="H9" i="7"/>
  <c r="H6" i="7"/>
  <c r="O6" i="6"/>
  <c r="Q17" i="6"/>
  <c r="P17" i="6"/>
  <c r="I5" i="6"/>
  <c r="H5" i="6"/>
  <c r="A15" i="6" a="1"/>
  <c r="A15" i="6" s="1"/>
  <c r="E16" i="5"/>
  <c r="E17" i="5"/>
  <c r="E18" i="5"/>
  <c r="E19" i="5"/>
  <c r="E20" i="5"/>
  <c r="E15" i="5"/>
  <c r="U5" i="4"/>
  <c r="U13" i="4" s="1"/>
  <c r="U6" i="4"/>
  <c r="U7" i="4"/>
  <c r="U8" i="4"/>
  <c r="U9" i="4"/>
  <c r="U10" i="4"/>
  <c r="U11" i="4"/>
  <c r="V11" i="4" s="1"/>
  <c r="G5" i="4"/>
  <c r="G6" i="4"/>
  <c r="G7" i="4"/>
  <c r="G8" i="4"/>
  <c r="G9" i="4"/>
  <c r="G10" i="4"/>
  <c r="G11" i="4"/>
  <c r="G4" i="4"/>
  <c r="V8" i="4"/>
  <c r="W8" i="4" s="1"/>
  <c r="U15" i="4"/>
  <c r="U14" i="4"/>
  <c r="V10" i="4"/>
  <c r="W10" i="4" s="1"/>
  <c r="X10" i="4" s="1"/>
  <c r="V9" i="4"/>
  <c r="W9" i="4" s="1"/>
  <c r="V7" i="4"/>
  <c r="W7" i="4" s="1"/>
  <c r="V6" i="4"/>
  <c r="W6" i="4" s="1"/>
  <c r="V5" i="4"/>
  <c r="V4" i="4"/>
  <c r="W4" i="4" s="1"/>
  <c r="F22" i="4"/>
  <c r="F21" i="4"/>
  <c r="F20" i="4"/>
  <c r="F19" i="4"/>
  <c r="F17" i="4"/>
  <c r="F16" i="4"/>
  <c r="F15" i="4"/>
  <c r="F14" i="4"/>
  <c r="F13" i="4"/>
  <c r="H11" i="4"/>
  <c r="H10" i="4"/>
  <c r="I10" i="4" s="1"/>
  <c r="H9" i="4"/>
  <c r="H8" i="4"/>
  <c r="I8" i="4" s="1"/>
  <c r="J8" i="4" s="1"/>
  <c r="I7" i="4"/>
  <c r="H7" i="4"/>
  <c r="H6" i="4"/>
  <c r="H5" i="4"/>
  <c r="H4" i="4"/>
  <c r="I4" i="4" s="1"/>
  <c r="L51" i="3"/>
  <c r="L52" i="3"/>
  <c r="L53" i="3"/>
  <c r="L54" i="3"/>
  <c r="L55" i="3"/>
  <c r="L56" i="3"/>
  <c r="L50" i="3"/>
  <c r="M38" i="3"/>
  <c r="M39" i="3"/>
  <c r="M40" i="3"/>
  <c r="M41" i="3"/>
  <c r="M42" i="3"/>
  <c r="M43" i="3"/>
  <c r="M37" i="3"/>
  <c r="L38" i="3"/>
  <c r="L39" i="3"/>
  <c r="L40" i="3"/>
  <c r="L41" i="3"/>
  <c r="L42" i="3"/>
  <c r="L43" i="3"/>
  <c r="L37" i="3"/>
  <c r="L18" i="3"/>
  <c r="L19" i="3"/>
  <c r="L20" i="3"/>
  <c r="L21" i="3"/>
  <c r="L22" i="3"/>
  <c r="L23" i="3"/>
  <c r="L17" i="3"/>
  <c r="L3" i="3"/>
  <c r="L4" i="3"/>
  <c r="L5" i="3"/>
  <c r="L6" i="3"/>
  <c r="L7" i="3"/>
  <c r="L8" i="3"/>
  <c r="L2" i="3"/>
  <c r="U16" i="4" l="1"/>
  <c r="U18" i="4" s="1"/>
  <c r="U17" i="4"/>
  <c r="U20" i="4"/>
  <c r="U22" i="4"/>
  <c r="U23" i="4" s="1"/>
  <c r="U24" i="4" s="1"/>
  <c r="U19" i="4"/>
  <c r="U21" i="4"/>
  <c r="V14" i="4"/>
  <c r="V19" i="4"/>
  <c r="V16" i="4"/>
  <c r="V21" i="4"/>
  <c r="V13" i="4"/>
  <c r="X7" i="4"/>
  <c r="Y7" i="4" s="1"/>
  <c r="W5" i="4"/>
  <c r="W11" i="4"/>
  <c r="X8" i="4"/>
  <c r="Y8" i="4" s="1"/>
  <c r="V22" i="4"/>
  <c r="Y10" i="4"/>
  <c r="V17" i="4"/>
  <c r="V15" i="4"/>
  <c r="V20" i="4"/>
  <c r="X4" i="4"/>
  <c r="Y4" i="4" s="1"/>
  <c r="X6" i="4"/>
  <c r="Y6" i="4" s="1"/>
  <c r="X9" i="4"/>
  <c r="Y9" i="4" s="1"/>
  <c r="F18" i="4"/>
  <c r="F23" i="4"/>
  <c r="J7" i="4"/>
  <c r="K7" i="4" s="1"/>
  <c r="I5" i="4"/>
  <c r="J5" i="4" s="1"/>
  <c r="K5" i="4" s="1"/>
  <c r="J10" i="4"/>
  <c r="K10" i="4" s="1"/>
  <c r="K8" i="4"/>
  <c r="F24" i="4"/>
  <c r="H16" i="4"/>
  <c r="I13" i="4"/>
  <c r="H21" i="4"/>
  <c r="H19" i="4"/>
  <c r="J4" i="4"/>
  <c r="K4" i="4" s="1"/>
  <c r="H14" i="4"/>
  <c r="I11" i="4"/>
  <c r="J11" i="4" s="1"/>
  <c r="H17" i="4"/>
  <c r="H22" i="4"/>
  <c r="H15" i="4"/>
  <c r="H20" i="4"/>
  <c r="F25" i="4"/>
  <c r="I6" i="4"/>
  <c r="J6" i="4" s="1"/>
  <c r="I9" i="4"/>
  <c r="J9" i="4" s="1"/>
  <c r="H13" i="4"/>
  <c r="V18" i="4" l="1"/>
  <c r="W13" i="4"/>
  <c r="W21" i="4"/>
  <c r="U25" i="4"/>
  <c r="W19" i="4"/>
  <c r="W15" i="4"/>
  <c r="V23" i="4"/>
  <c r="V24" i="4" s="1"/>
  <c r="W22" i="4"/>
  <c r="W16" i="4"/>
  <c r="W17" i="4"/>
  <c r="W20" i="4"/>
  <c r="X11" i="4"/>
  <c r="Y11" i="4" s="1"/>
  <c r="W14" i="4"/>
  <c r="X5" i="4"/>
  <c r="I17" i="4"/>
  <c r="I16" i="4"/>
  <c r="H18" i="4"/>
  <c r="I14" i="4"/>
  <c r="I15" i="4"/>
  <c r="I20" i="4"/>
  <c r="I22" i="4"/>
  <c r="H23" i="4"/>
  <c r="H24" i="4" s="1"/>
  <c r="K9" i="4"/>
  <c r="J13" i="4"/>
  <c r="J20" i="4"/>
  <c r="J15" i="4"/>
  <c r="J22" i="4"/>
  <c r="J17" i="4"/>
  <c r="J19" i="4"/>
  <c r="J14" i="4"/>
  <c r="J16" i="4"/>
  <c r="J21" i="4"/>
  <c r="K11" i="4"/>
  <c r="I19" i="4"/>
  <c r="K6" i="4"/>
  <c r="I21" i="4"/>
  <c r="W18" i="4" l="1"/>
  <c r="X15" i="4"/>
  <c r="X20" i="4"/>
  <c r="V25" i="4"/>
  <c r="X22" i="4"/>
  <c r="X13" i="4"/>
  <c r="X16" i="4"/>
  <c r="X21" i="4"/>
  <c r="W23" i="4"/>
  <c r="W24" i="4" s="1"/>
  <c r="X19" i="4"/>
  <c r="Y5" i="4"/>
  <c r="X14" i="4"/>
  <c r="X17" i="4"/>
  <c r="K20" i="4"/>
  <c r="K13" i="4"/>
  <c r="H25" i="4"/>
  <c r="I23" i="4"/>
  <c r="I24" i="4" s="1"/>
  <c r="K14" i="4"/>
  <c r="K19" i="4"/>
  <c r="K17" i="4"/>
  <c r="K22" i="4"/>
  <c r="K23" i="4" s="1"/>
  <c r="K25" i="4" s="1"/>
  <c r="K15" i="4"/>
  <c r="K21" i="4"/>
  <c r="I18" i="4"/>
  <c r="J23" i="4"/>
  <c r="J24" i="4" s="1"/>
  <c r="J18" i="4"/>
  <c r="K16" i="4"/>
  <c r="X23" i="4" l="1"/>
  <c r="X25" i="4" s="1"/>
  <c r="X18" i="4"/>
  <c r="W25" i="4"/>
  <c r="Y22" i="4"/>
  <c r="Y17" i="4"/>
  <c r="Y16" i="4"/>
  <c r="Y15" i="4"/>
  <c r="Y14" i="4"/>
  <c r="Y21" i="4"/>
  <c r="Y19" i="4"/>
  <c r="Y20" i="4"/>
  <c r="Y13" i="4"/>
  <c r="I25" i="4"/>
  <c r="K24" i="4"/>
  <c r="K18" i="4"/>
  <c r="J25" i="4"/>
  <c r="X24" i="4" l="1"/>
  <c r="Y18" i="4"/>
  <c r="Y23" i="4"/>
  <c r="Y24" i="4" s="1"/>
  <c r="F22" i="2"/>
  <c r="F21" i="2"/>
  <c r="F20" i="2"/>
  <c r="F19" i="2"/>
  <c r="F17" i="2"/>
  <c r="F16" i="2"/>
  <c r="F15" i="2"/>
  <c r="F14" i="2"/>
  <c r="F13" i="2"/>
  <c r="G11" i="2"/>
  <c r="H11" i="2" s="1"/>
  <c r="G10" i="2"/>
  <c r="H10" i="2" s="1"/>
  <c r="G9" i="2"/>
  <c r="G8" i="2"/>
  <c r="H8" i="2" s="1"/>
  <c r="I8" i="2" s="1"/>
  <c r="J8" i="2" s="1"/>
  <c r="G7" i="2"/>
  <c r="G6" i="2"/>
  <c r="G5" i="2"/>
  <c r="H5" i="2" s="1"/>
  <c r="G4" i="2"/>
  <c r="H4" i="2" s="1"/>
  <c r="Y25" i="4" l="1"/>
  <c r="F23" i="2"/>
  <c r="F24" i="2" s="1"/>
  <c r="I5" i="2"/>
  <c r="J5" i="2" s="1"/>
  <c r="F18" i="2"/>
  <c r="G16" i="2"/>
  <c r="I11" i="2"/>
  <c r="J11" i="2" s="1"/>
  <c r="I4" i="2"/>
  <c r="I10" i="2"/>
  <c r="J10" i="2" s="1"/>
  <c r="G14" i="2"/>
  <c r="H7" i="2"/>
  <c r="I7" i="2" s="1"/>
  <c r="J7" i="2" s="1"/>
  <c r="G19" i="2"/>
  <c r="G21" i="2"/>
  <c r="G17" i="2"/>
  <c r="G22" i="2"/>
  <c r="G15" i="2"/>
  <c r="G20" i="2"/>
  <c r="H6" i="2"/>
  <c r="H9" i="2"/>
  <c r="I9" i="2" s="1"/>
  <c r="G13" i="2"/>
  <c r="F25" i="2" l="1"/>
  <c r="G18" i="2"/>
  <c r="H21" i="2"/>
  <c r="J9" i="2"/>
  <c r="H22" i="2"/>
  <c r="H13" i="2"/>
  <c r="H17" i="2"/>
  <c r="I6" i="2"/>
  <c r="I19" i="2" s="1"/>
  <c r="H19" i="2"/>
  <c r="H20" i="2"/>
  <c r="I13" i="2"/>
  <c r="I22" i="2"/>
  <c r="G23" i="2"/>
  <c r="G24" i="2" s="1"/>
  <c r="H14" i="2"/>
  <c r="J4" i="2"/>
  <c r="H15" i="2"/>
  <c r="H16" i="2"/>
  <c r="I20" i="2" l="1"/>
  <c r="I23" i="2" s="1"/>
  <c r="I25" i="2" s="1"/>
  <c r="I15" i="2"/>
  <c r="H18" i="2"/>
  <c r="J6" i="2"/>
  <c r="J15" i="2" s="1"/>
  <c r="I17" i="2"/>
  <c r="I21" i="2"/>
  <c r="I14" i="2"/>
  <c r="H23" i="2"/>
  <c r="H25" i="2" s="1"/>
  <c r="G25" i="2"/>
  <c r="I16" i="2"/>
  <c r="J13" i="2"/>
  <c r="J20" i="2"/>
  <c r="J16" i="2" l="1"/>
  <c r="J18" i="2" s="1"/>
  <c r="I18" i="2"/>
  <c r="J21" i="2"/>
  <c r="J14" i="2"/>
  <c r="J17" i="2"/>
  <c r="J22" i="2"/>
  <c r="J23" i="2" s="1"/>
  <c r="J25" i="2" s="1"/>
  <c r="J19" i="2"/>
  <c r="H24" i="2"/>
  <c r="I24" i="2"/>
  <c r="J24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<sst xmlns="http://schemas.openxmlformats.org/spreadsheetml/2006/main" count="513" uniqueCount="156">
  <si>
    <t>Bonus=salary *2%</t>
  </si>
  <si>
    <t>Name</t>
  </si>
  <si>
    <t>Tax=salary+bouns/2*0.01</t>
  </si>
  <si>
    <t>Ali</t>
  </si>
  <si>
    <t>01006547894</t>
  </si>
  <si>
    <t>IT</t>
  </si>
  <si>
    <t>insurance=salry+bonus-tax*1.5%</t>
  </si>
  <si>
    <t>Ahmed</t>
  </si>
  <si>
    <t>Zayed</t>
  </si>
  <si>
    <t>01525832691</t>
  </si>
  <si>
    <t>HR</t>
  </si>
  <si>
    <t>taotal=salary+bonus-tax-ins</t>
  </si>
  <si>
    <t>Mona</t>
  </si>
  <si>
    <t>Dokki</t>
  </si>
  <si>
    <t>01145369872</t>
  </si>
  <si>
    <t>Hana</t>
  </si>
  <si>
    <t>01236098521</t>
  </si>
  <si>
    <t>DA</t>
  </si>
  <si>
    <t>Mostafa</t>
  </si>
  <si>
    <t>01032574136</t>
  </si>
  <si>
    <t>CITY</t>
  </si>
  <si>
    <t>PHONE</t>
  </si>
  <si>
    <t>DEPARTMENT</t>
  </si>
  <si>
    <t>DATE OF HIRE</t>
  </si>
  <si>
    <t>SALARY</t>
  </si>
  <si>
    <t>BOUNS</t>
  </si>
  <si>
    <t>TAX</t>
  </si>
  <si>
    <t>INSURANCE</t>
  </si>
  <si>
    <t xml:space="preserve">TOTAL </t>
  </si>
  <si>
    <t>01006547897</t>
  </si>
  <si>
    <t>01006547896</t>
  </si>
  <si>
    <t>01006547895</t>
  </si>
  <si>
    <t>Total</t>
  </si>
  <si>
    <t>SUM</t>
  </si>
  <si>
    <t>COUNT</t>
  </si>
  <si>
    <t>MIN</t>
  </si>
  <si>
    <t>MAX</t>
  </si>
  <si>
    <t>MEAN</t>
  </si>
  <si>
    <t>RANGE</t>
  </si>
  <si>
    <t>STD</t>
  </si>
  <si>
    <t>Q1</t>
  </si>
  <si>
    <t>Q3</t>
  </si>
  <si>
    <t>IQR</t>
  </si>
  <si>
    <t>LB</t>
  </si>
  <si>
    <t>UB</t>
  </si>
  <si>
    <t xml:space="preserve">YAT </t>
  </si>
  <si>
    <t>Maged</t>
  </si>
  <si>
    <t>Alaa</t>
  </si>
  <si>
    <t>Ramy Adel</t>
  </si>
  <si>
    <t>Maadi</t>
  </si>
  <si>
    <t>Dayed</t>
  </si>
  <si>
    <t>6th Of October</t>
  </si>
  <si>
    <t>Q2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</si>
  <si>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</si>
  <si>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</si>
  <si>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</si>
  <si>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</si>
  <si>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</si>
  <si>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</si>
  <si>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</si>
  <si>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</si>
  <si>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</si>
  <si>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</si>
  <si>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</si>
  <si>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</si>
  <si>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</si>
  <si>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</si>
  <si>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</si>
  <si>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/>
  </si>
  <si>
    <t xml:space="preserve">Salary </t>
  </si>
  <si>
    <t>Bonus</t>
  </si>
  <si>
    <t xml:space="preserve">Name </t>
  </si>
  <si>
    <t xml:space="preserve">Ahmed </t>
  </si>
  <si>
    <t>Nour</t>
  </si>
  <si>
    <t xml:space="preserve">Khdeja </t>
  </si>
  <si>
    <t>Hasan</t>
  </si>
  <si>
    <t>Mariam</t>
  </si>
  <si>
    <t>Mark</t>
  </si>
  <si>
    <t>Sales</t>
  </si>
  <si>
    <t>Salary</t>
  </si>
  <si>
    <t>Transportation</t>
  </si>
  <si>
    <t>&gt;=10000</t>
  </si>
  <si>
    <t>&lt;10000</t>
  </si>
  <si>
    <t>Grade</t>
  </si>
  <si>
    <t>Status</t>
  </si>
  <si>
    <t>Age</t>
  </si>
  <si>
    <t>A</t>
  </si>
  <si>
    <t>B</t>
  </si>
  <si>
    <t>C</t>
  </si>
  <si>
    <t>D</t>
  </si>
  <si>
    <t>Bulidig No</t>
  </si>
  <si>
    <t xml:space="preserve">3-5 </t>
  </si>
  <si>
    <t>14-18</t>
  </si>
  <si>
    <t>6-10</t>
  </si>
  <si>
    <t>11-13</t>
  </si>
  <si>
    <t>Salary2</t>
  </si>
  <si>
    <t>Member</t>
  </si>
  <si>
    <t>Result</t>
  </si>
  <si>
    <t>Shimaa</t>
  </si>
  <si>
    <t>Hany</t>
  </si>
  <si>
    <t>Shahd</t>
  </si>
  <si>
    <t>Ebram</t>
  </si>
  <si>
    <t>Islam</t>
  </si>
  <si>
    <t>Hager</t>
  </si>
  <si>
    <t>Yes</t>
  </si>
  <si>
    <t>No</t>
  </si>
  <si>
    <t>Eligible</t>
  </si>
  <si>
    <t>Not Eligible</t>
  </si>
  <si>
    <t>Eligible+Bonus</t>
  </si>
  <si>
    <t>n</t>
  </si>
  <si>
    <t xml:space="preserve">Logic </t>
  </si>
  <si>
    <t>FALES</t>
  </si>
  <si>
    <t>And</t>
  </si>
  <si>
    <t>or</t>
  </si>
  <si>
    <t>Not</t>
  </si>
  <si>
    <t>Score</t>
  </si>
  <si>
    <t xml:space="preserve">شروط الحصول علي الجائزه هنا يبقى الاسكور اكبر من 70 و اكبر من 18 سنه </t>
  </si>
  <si>
    <t>التطبيق</t>
  </si>
  <si>
    <t>Region</t>
  </si>
  <si>
    <t>Sale</t>
  </si>
  <si>
    <t>Mohammed</t>
  </si>
  <si>
    <t>Hanaa</t>
  </si>
  <si>
    <t>Harram</t>
  </si>
  <si>
    <t>Maddi</t>
  </si>
  <si>
    <t>Faysal</t>
  </si>
  <si>
    <t>Tagamoa</t>
  </si>
  <si>
    <t>Madinty</t>
  </si>
  <si>
    <t>Vlookup</t>
  </si>
  <si>
    <t>Hlookup</t>
  </si>
  <si>
    <t>Regoin</t>
  </si>
  <si>
    <t>xlookup</t>
  </si>
  <si>
    <t>حساب من يوم الميلاد</t>
  </si>
  <si>
    <t xml:space="preserve">حساب عدد السنين من تاريخ </t>
  </si>
  <si>
    <t>or-202</t>
  </si>
  <si>
    <t>cs-504</t>
  </si>
  <si>
    <t>is-305</t>
  </si>
  <si>
    <t>it-101</t>
  </si>
  <si>
    <t xml:space="preserve">     Amal </t>
  </si>
  <si>
    <t xml:space="preserve">  ahmed </t>
  </si>
  <si>
    <t xml:space="preserve">omar </t>
  </si>
  <si>
    <t xml:space="preserve">  marIam</t>
  </si>
  <si>
    <t xml:space="preserve">AHMED </t>
  </si>
  <si>
    <t>Fathy</t>
  </si>
  <si>
    <t>amr</t>
  </si>
  <si>
    <t xml:space="preserve">rana </t>
  </si>
  <si>
    <t xml:space="preserve">abdo </t>
  </si>
  <si>
    <t>reda</t>
  </si>
  <si>
    <t>Gander</t>
  </si>
  <si>
    <t>Male</t>
  </si>
  <si>
    <t>Female</t>
  </si>
  <si>
    <t>[&gt;=1000000]0.##,,"M";[&gt;=1000]0.#,"K";0</t>
  </si>
  <si>
    <t>تحول الارقام الي (K)</t>
  </si>
  <si>
    <t>Faisal</t>
  </si>
  <si>
    <t>6Th Of October</t>
  </si>
  <si>
    <t>Nasr City</t>
  </si>
  <si>
    <t>Mohandseen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</si>
</sst>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 d\,\ yyyy;@"/>
    <numFmt numFmtId="165" formatCode="&quot;$&quot;#,##0.00"/>
    <numFmt numFmtId="166" formatCode="000\-00\-0000"/>
    <numFmt numFmtId="167" formatCode="#,##0.00\ [$ج.م.‏-C01];[Red]\-#,##0.00\ [$ج.م.‏-C01]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8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4" borderId="2" applyNumberFormat="0" applyFont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</cellStyleXfs>
  <cellXfs count="46">
    <xf numFmtId="0" fontId="0" fillId="0" borderId="0" xfId="0"/>
    <xf numFmtId="0" fontId="3" fillId="2" borderId="1" xfId="1" applyFont="1" applyBorder="1"/>
    <xf numFmtId="0" fontId="1" fillId="2" borderId="1" xfId="1" applyFont="1" applyBorder="1"/>
    <xf numFmtId="164" fontId="1" fillId="2" borderId="1" xfId="1" applyNumberFormat="1" applyFont="1" applyBorder="1"/>
    <xf numFmtId="166" fontId="1" fillId="2" borderId="1" xfId="1" applyNumberFormat="1" applyFont="1" applyBorder="1" applyAlignment="1">
      <alignment shrinkToFit="1"/>
    </xf>
    <xf numFmtId="2" fontId="3" fillId="2" borderId="1" xfId="1" applyNumberFormat="1" applyFont="1" applyBorder="1"/>
    <xf numFmtId="164" fontId="3" fillId="2" borderId="1" xfId="1" applyNumberFormat="1" applyFont="1" applyBorder="1" applyAlignment="1"/>
    <xf numFmtId="165" fontId="3" fillId="2" borderId="1" xfId="1" applyNumberFormat="1" applyFont="1" applyBorder="1"/>
    <xf numFmtId="49" fontId="1" fillId="2" borderId="1" xfId="1" applyNumberFormat="1" applyFont="1" applyBorder="1"/>
    <xf numFmtId="167" fontId="1" fillId="2" borderId="1" xfId="1" applyNumberFormat="1" applyFont="1" applyBorder="1"/>
    <xf numFmtId="0" fontId="0" fillId="0" borderId="3" xfId="0" applyBorder="1"/>
    <xf numFmtId="0" fontId="5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4" borderId="2" xfId="2" applyFont="1" applyAlignment="1">
      <alignment horizontal="center" vertical="center"/>
    </xf>
    <xf numFmtId="0" fontId="0" fillId="4" borderId="2" xfId="2" applyFont="1"/>
    <xf numFmtId="0" fontId="0" fillId="0" borderId="5" xfId="0" applyBorder="1"/>
    <xf numFmtId="0" fontId="0" fillId="0" borderId="5" xfId="0" applyBorder="1" applyAlignment="1">
      <alignment horizontal="center" vertical="center"/>
    </xf>
    <xf numFmtId="9" fontId="0" fillId="0" borderId="0" xfId="0" applyNumberFormat="1"/>
    <xf numFmtId="20" fontId="0" fillId="0" borderId="0" xfId="0" applyNumberFormat="1"/>
    <xf numFmtId="49" fontId="0" fillId="0" borderId="0" xfId="0" applyNumberFormat="1"/>
    <xf numFmtId="167" fontId="1" fillId="2" borderId="1" xfId="0" applyNumberFormat="1" applyFont="1" applyFill="1" applyBorder="1"/>
    <xf numFmtId="49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49" fontId="0" fillId="7" borderId="1" xfId="0" applyNumberFormat="1" applyFill="1" applyBorder="1"/>
    <xf numFmtId="0" fontId="0" fillId="7" borderId="1" xfId="0" applyFill="1" applyBorder="1"/>
    <xf numFmtId="164" fontId="0" fillId="7" borderId="1" xfId="0" applyNumberFormat="1" applyFill="1" applyBorder="1"/>
    <xf numFmtId="167" fontId="0" fillId="7" borderId="1" xfId="0" applyNumberFormat="1" applyFill="1" applyBorder="1"/>
    <xf numFmtId="0" fontId="0" fillId="0" borderId="6" xfId="0" applyBorder="1"/>
    <xf numFmtId="49" fontId="0" fillId="0" borderId="6" xfId="0" applyNumberFormat="1" applyBorder="1"/>
    <xf numFmtId="0" fontId="4" fillId="6" borderId="5" xfId="4" applyBorder="1" applyAlignment="1">
      <alignment horizontal="center" vertical="center"/>
    </xf>
    <xf numFmtId="0" fontId="1" fillId="9" borderId="5" xfId="3" applyFill="1" applyBorder="1"/>
    <xf numFmtId="0" fontId="1" fillId="10" borderId="5" xfId="3" applyFill="1" applyBorder="1"/>
    <xf numFmtId="0" fontId="1" fillId="11" borderId="5" xfId="4" applyFont="1" applyFill="1" applyBorder="1"/>
    <xf numFmtId="14" fontId="0" fillId="0" borderId="0" xfId="0" applyNumberFormat="1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7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4" fillId="6" borderId="5" xfId="4" applyBorder="1" applyAlignment="1">
      <alignment horizontal="center"/>
    </xf>
    <xf numFmtId="0" fontId="6" fillId="12" borderId="1" xfId="0" applyFont="1" applyFill="1" applyBorder="1"/>
    <xf numFmtId="0" fontId="0" fillId="13" borderId="1" xfId="0" applyFont="1" applyFill="1" applyBorder="1"/>
    <xf numFmtId="0" fontId="0" fillId="0" borderId="1" xfId="0" applyFont="1" applyBorder="1"/>
    <xf numFmtId="2" fontId="0" fillId="13" borderId="1" xfId="0" applyNumberFormat="1" applyFont="1" applyFill="1" applyBorder="1"/>
    <xf numFmtId="2" fontId="0" fillId="0" borderId="1" xfId="0" applyNumberFormat="1" applyFont="1" applyBorder="1"/>
  </cellXfs>
  <cellStyles count="5">
    <cellStyle name="60% - Accent1" xfId="3" builtinId="32"/>
    <cellStyle name="Accent5" xfId="4" builtinId="45"/>
    <cellStyle name="Good" xfId="1" builtinId="26"/>
    <cellStyle name="Normal" xfId="0" builtinId="0"/>
    <cellStyle name="Note" xfId="2" builtinId="10"/>
  </cellStyles>
  <dxfs count="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mmmm\ d\,\ yyyy;@"/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mmmm\ d\,\ 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mmmm\ d\,\ yyyy;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mmmm\ d\,\ 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mmmm\ d\,\ yyyy;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mmmm\ d\,\ 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96264294396829"/>
          <c:y val="3.4985422740524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80976935405199"/>
          <c:y val="0.24542274052478133"/>
          <c:w val="0.78175365247485662"/>
          <c:h val="0.6484649112738458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'1'!$B$53:$B$60</c:f>
              <c:numCache>
                <c:formatCode>General</c:formatCode>
                <c:ptCount val="8"/>
                <c:pt idx="0">
                  <c:v>10000</c:v>
                </c:pt>
                <c:pt idx="1">
                  <c:v>9000</c:v>
                </c:pt>
                <c:pt idx="2">
                  <c:v>12000</c:v>
                </c:pt>
                <c:pt idx="3">
                  <c:v>25000</c:v>
                </c:pt>
                <c:pt idx="4">
                  <c:v>10000</c:v>
                </c:pt>
                <c:pt idx="5">
                  <c:v>8000</c:v>
                </c:pt>
                <c:pt idx="6">
                  <c:v>20000</c:v>
                </c:pt>
                <c:pt idx="7">
                  <c:v>20000</c:v>
                </c:pt>
              </c:numCache>
            </c:numRef>
          </c:xVal>
          <c:yVal>
            <c:numRef>
              <c:f>'1'!$C$53:$C$60</c:f>
              <c:numCache>
                <c:formatCode>General</c:formatCode>
                <c:ptCount val="8"/>
                <c:pt idx="0">
                  <c:v>900</c:v>
                </c:pt>
                <c:pt idx="1">
                  <c:v>1700</c:v>
                </c:pt>
                <c:pt idx="2">
                  <c:v>800</c:v>
                </c:pt>
                <c:pt idx="3">
                  <c:v>400</c:v>
                </c:pt>
                <c:pt idx="4">
                  <c:v>800</c:v>
                </c:pt>
                <c:pt idx="5">
                  <c:v>1600</c:v>
                </c:pt>
                <c:pt idx="6">
                  <c:v>300</c:v>
                </c:pt>
                <c:pt idx="7">
                  <c:v>200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7F6-46E9-BD33-3932202A9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67584"/>
        <c:axId val="118969024"/>
      </c:scatterChart>
      <c:valAx>
        <c:axId val="11896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69024"/>
        <c:crosses val="autoZero"/>
        <c:crossBetween val="midCat"/>
      </c:valAx>
      <c:valAx>
        <c:axId val="11896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6758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355577427821522"/>
          <c:y val="7.407407407407407E-2"/>
          <c:w val="0.83644422572178478"/>
          <c:h val="0.84621974336541261"/>
        </c:manualLayout>
      </c:layout>
      <c:barChart>
        <c:barDir val="col"/>
        <c:grouping val="clustered"/>
        <c:varyColors val="0"/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8606784"/>
        <c:axId val="693005456"/>
      </c:barChart>
      <c:catAx>
        <c:axId val="72860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005456"/>
        <c:crosses val="autoZero"/>
        <c:auto val="1"/>
        <c:lblAlgn val="ctr"/>
        <c:lblOffset val="100"/>
        <c:noMultiLvlLbl val="0"/>
      </c:catAx>
      <c:valAx>
        <c:axId val="6930054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28606784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84558180227472"/>
          <c:y val="0.19486111111111112"/>
          <c:w val="0.88357174103237091"/>
          <c:h val="0.7208876494604841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Sheet4!$D$1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Sheet4!$A$2:$A$9</c:f>
              <c:strCache>
                <c:ptCount val="8"/>
                <c:pt idx="0">
                  <c:v>Ali</c:v>
                </c:pt>
                <c:pt idx="1">
                  <c:v>Hana</c:v>
                </c:pt>
                <c:pt idx="2">
                  <c:v>Maged</c:v>
                </c:pt>
                <c:pt idx="3">
                  <c:v>Alaa</c:v>
                </c:pt>
                <c:pt idx="4">
                  <c:v>Mona</c:v>
                </c:pt>
                <c:pt idx="5">
                  <c:v>Ahmed</c:v>
                </c:pt>
                <c:pt idx="6">
                  <c:v>Mostafa</c:v>
                </c:pt>
                <c:pt idx="7">
                  <c:v>Ramy Adel</c:v>
                </c:pt>
              </c:strCache>
            </c:strRef>
          </c:cat>
          <c:val>
            <c:numRef>
              <c:f>Sheet4!$D$2:$D$9</c:f>
              <c:numCache>
                <c:formatCode>0.00</c:formatCode>
                <c:ptCount val="8"/>
                <c:pt idx="0">
                  <c:v>10000</c:v>
                </c:pt>
                <c:pt idx="1">
                  <c:v>12000</c:v>
                </c:pt>
                <c:pt idx="2">
                  <c:v>12000</c:v>
                </c:pt>
                <c:pt idx="3">
                  <c:v>25000</c:v>
                </c:pt>
                <c:pt idx="4">
                  <c:v>12000</c:v>
                </c:pt>
                <c:pt idx="5">
                  <c:v>8000</c:v>
                </c:pt>
                <c:pt idx="6">
                  <c:v>20000</c:v>
                </c:pt>
                <c:pt idx="7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F-4917-84EB-F79F8BDF0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8606424"/>
        <c:axId val="728608944"/>
      </c:barChart>
      <c:catAx>
        <c:axId val="728606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608944"/>
        <c:crosses val="autoZero"/>
        <c:auto val="1"/>
        <c:lblAlgn val="ctr"/>
        <c:lblOffset val="100"/>
        <c:noMultiLvlLbl val="0"/>
      </c:catAx>
      <c:valAx>
        <c:axId val="72860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606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</xdr:colOff>
      <xdr:row>51</xdr:row>
      <xdr:rowOff>171450</xdr:rowOff>
    </xdr:from>
    <xdr:to>
      <xdr:col>11</xdr:col>
      <xdr:colOff>12700</xdr:colOff>
      <xdr:row>63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A84A7C-3E24-2FB1-3CFC-45DFCF56A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422275</xdr:colOff>
      <xdr:row>0</xdr:row>
      <xdr:rowOff>41275</xdr:rowOff>
    </xdr:from>
    <xdr:to>
      <xdr:col>13</xdr:col>
      <xdr:colOff>238125</xdr:colOff>
      <xdr:row>15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D66F47-0CAA-FEAC-058D-38BE51C54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111125</xdr:colOff>
      <xdr:row>2</xdr:row>
      <xdr:rowOff>60325</xdr:rowOff>
    </xdr:from>
    <xdr:to>
      <xdr:col>13</xdr:col>
      <xdr:colOff>415925</xdr:colOff>
      <xdr:row>17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92D831-13E9-B2FA-1C4B-39458F75C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4C6A68-2A9E-49F9-A83E-9AA52DC9CC2A}" name="Table1" displayName="Table1" ref="C3:J13" totalsRowCount="1" headerRowDxfId="67" dataDxfId="65" totalsRowDxfId="63" headerRowBorderDxfId="66" tableBorderDxfId="64" totalsRowBorderDxfId="62" headerRowCellStyle="Good" dataCellStyle="Good" totalsRowCellStyle="Good">
  <autoFilter ref="C3:J12" xr:uid="{E34C6A68-2A9E-49F9-A83E-9AA52DC9CC2A}"/>
  <tableColumns count="8">
    <tableColumn id="1" xr3:uid="{6AFFE926-EE0A-4D2A-94CD-D3990C505C3D}" name="PHONE" dataDxfId="61" totalsRowDxfId="60" dataCellStyle="Good" totalsRowCellStyle="Good"/>
    <tableColumn id="2" xr3:uid="{1132A6EC-950A-4630-A08A-1B68FF88A6B2}" name="DEPARTMENT" dataDxfId="59" totalsRowDxfId="58" dataCellStyle="Good" totalsRowCellStyle="Good"/>
    <tableColumn id="3" xr3:uid="{BAC81B3C-A331-4AE6-A53A-C700659910B7}" name="DATE OF HIRE" dataDxfId="57" totalsRowDxfId="56" dataCellStyle="Good" totalsRowCellStyle="Good"/>
    <tableColumn id="4" xr3:uid="{E4D3DA4C-A284-4E93-879E-B4B48502928B}" name="SALARY" totalsRowFunction="sum" dataDxfId="55" totalsRowDxfId="54" dataCellStyle="Good" totalsRowCellStyle="Good"/>
    <tableColumn id="5" xr3:uid="{C66ED6F3-3579-44A3-B7CF-3F24B5E5C094}" name="BOUNS" totalsRowFunction="sum" dataDxfId="53" totalsRowDxfId="52" dataCellStyle="Good" totalsRowCellStyle="Good"/>
    <tableColumn id="6" xr3:uid="{D8F0226A-F384-41AF-9E85-CD8E94345AA5}" name="TAX" totalsRowFunction="sum" dataDxfId="51" totalsRowDxfId="50" dataCellStyle="Good" totalsRowCellStyle="Good"/>
    <tableColumn id="7" xr3:uid="{721311D7-346B-4A10-AA9F-E7D804B3B78C}" name="INSURANCE" totalsRowFunction="sum" dataDxfId="49" totalsRowDxfId="48" dataCellStyle="Good" totalsRowCellStyle="Good"/>
    <tableColumn id="8" xr3:uid="{4F7D55AC-A5DE-46E4-8D8C-0F7E58015894}" name="TOTAL " totalsRowFunction="sum" dataDxfId="47" totalsRowDxfId="46" dataCellStyle="Good" totalsRowCellStyle="Good">
      <calculatedColumnFormula>Table1[[#This Row],[SALARY]]+Table1[[#This Row],[BOUNS]]-Table1[[#This Row],[TAX]]-Table1[[#This Row],[INSURANCE]]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3A5BB-9FC0-4904-ADB4-698E3409D18E}" name="Table12" displayName="Table12" ref="C3:K13" totalsRowCount="1" headerRowDxfId="45" dataDxfId="43" totalsRowDxfId="41" headerRowBorderDxfId="44" tableBorderDxfId="42" totalsRowBorderDxfId="40" headerRowCellStyle="Good" dataCellStyle="Good" totalsRowCellStyle="Good">
  <autoFilter ref="C3:K12" xr:uid="{EE03A5BB-9FC0-4904-ADB4-698E3409D18E}"/>
  <tableColumns count="9">
    <tableColumn id="1" xr3:uid="{E637D784-6756-4E94-AD31-7E17E768E9DE}" name="PHONE" dataDxfId="39" totalsRowDxfId="38" dataCellStyle="Good" totalsRowCellStyle="Good"/>
    <tableColumn id="2" xr3:uid="{4A4AA164-4FAF-4530-9C6F-56B567EB4A3F}" name="DEPARTMENT" dataDxfId="37" totalsRowDxfId="36" dataCellStyle="Good" totalsRowCellStyle="Good"/>
    <tableColumn id="3" xr3:uid="{86F41F66-5C5E-476F-B1ED-6E545829F00D}" name="DATE OF HIRE" dataDxfId="35" totalsRowDxfId="34" dataCellStyle="Good" totalsRowCellStyle="Good"/>
    <tableColumn id="4" xr3:uid="{75DB2C0B-E494-4D6C-B4D5-0117DC26820C}" name="SALARY" totalsRowFunction="sum" dataDxfId="33" totalsRowDxfId="32" dataCellStyle="Good" totalsRowCellStyle="Good"/>
    <tableColumn id="10" xr3:uid="{E4EC4A1E-D1BA-4524-B0C1-1F59D8CB40AF}" name="Salary2" dataDxfId="31" totalsRowDxfId="30" dataCellStyle="Good">
      <calculatedColumnFormula>IF(Table12[[#This Row],[SALARY]]="",MEDIAN($F$4:$F$11),Table12[[#This Row],[SALARY]])</calculatedColumnFormula>
    </tableColumn>
    <tableColumn id="5" xr3:uid="{2721C2D3-6436-4D9A-972F-1529FCA4E29E}" name="BOUNS" totalsRowFunction="sum" dataDxfId="29" totalsRowDxfId="28" dataCellStyle="Good" totalsRowCellStyle="Good"/>
    <tableColumn id="6" xr3:uid="{50D53590-F6B4-492E-8E15-61E10767C683}" name="TAX" totalsRowFunction="sum" dataDxfId="27" totalsRowDxfId="26" dataCellStyle="Good" totalsRowCellStyle="Good"/>
    <tableColumn id="7" xr3:uid="{0DF2D5A1-07F5-4374-A266-2BABE567E321}" name="INSURANCE" totalsRowFunction="sum" dataDxfId="25" totalsRowDxfId="24" dataCellStyle="Good" totalsRowCellStyle="Good"/>
    <tableColumn id="8" xr3:uid="{C91A421E-EDAE-4847-A2D5-C399ED667B88}" name="TOTAL " totalsRowFunction="sum" dataDxfId="23" totalsRowDxfId="22" dataCellStyle="Good" totalsRowCellStyle="Good">
      <calculatedColumnFormula>Table12[[#This Row],[SALARY]]+Table12[[#This Row],[BOUNS]]-Table12[[#This Row],[TAX]]-Table12[[#This Row],[INSURANCE]]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9DE905-50A0-4EB2-B9D2-7556B423F8BD}" name="Table124" displayName="Table124" ref="R3:Y13" totalsRowCount="1" headerRowDxfId="21" dataDxfId="19" totalsRowDxfId="17" headerRowBorderDxfId="20" tableBorderDxfId="18" totalsRowBorderDxfId="16" headerRowCellStyle="Good" dataCellStyle="Good" totalsRowCellStyle="Good">
  <autoFilter ref="R3:Y12" xr:uid="{E79DE905-50A0-4EB2-B9D2-7556B423F8BD}"/>
  <tableColumns count="8">
    <tableColumn id="1" xr3:uid="{4D1BC331-5669-4D7C-9B00-8D457D7D9F1E}" name="PHONE" dataDxfId="15" totalsRowDxfId="14" dataCellStyle="Good"/>
    <tableColumn id="2" xr3:uid="{729FB9B3-9CD7-4F9A-8AE1-F528C8B340BC}" name="DEPARTMENT" dataDxfId="13" totalsRowDxfId="12" dataCellStyle="Good"/>
    <tableColumn id="3" xr3:uid="{5B859A67-D553-45F3-936E-8A7F42E61FBA}" name="DATE OF HIRE" dataDxfId="11" totalsRowDxfId="10" dataCellStyle="Good"/>
    <tableColumn id="4" xr3:uid="{E8A8493F-D85F-4696-A41D-F0CF949DB748}" name="SALARY" totalsRowFunction="sum" dataDxfId="9" totalsRowDxfId="8" dataCellStyle="Good"/>
    <tableColumn id="5" xr3:uid="{B0C96DA7-F0E0-4E92-ABA9-9629E82F01AC}" name="BOUNS" totalsRowFunction="sum" dataDxfId="7" totalsRowDxfId="6" dataCellStyle="Good"/>
    <tableColumn id="6" xr3:uid="{FB283A5A-BDEB-4778-A8F4-B6AA9CE6C438}" name="TAX" totalsRowFunction="sum" dataDxfId="5" totalsRowDxfId="4" dataCellStyle="Good"/>
    <tableColumn id="7" xr3:uid="{06121EFB-BBF0-4A53-857B-80E84A1E578A}" name="INSURANCE" totalsRowFunction="sum" dataDxfId="3" totalsRowDxfId="2" dataCellStyle="Good"/>
    <tableColumn id="8" xr3:uid="{F9A33A35-5AF7-4DB7-9752-F35D165FBFF2}" name="TOTAL " totalsRowFunction="sum" dataDxfId="1" totalsRowDxfId="0" dataCellStyle="Good">
      <calculatedColumnFormula>Table124[[#This Row],[SALARY]]+Table124[[#This Row],[BOUNS]]-Table124[[#This Row],[TAX]]-Table124[[#This Row],[INSURANCE]]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27EA62-9F5C-4D2F-9D21-9AD07D1A53AD}" name="Table4" displayName="Table4" ref="A1:C12" totalsRowShown="0">
  <autoFilter ref="A1:C12" xr:uid="{3427EA62-9F5C-4D2F-9D21-9AD07D1A53AD}"/>
  <tableColumns count="3">
    <tableColumn id="1" xr3:uid="{4C2800D4-A427-46C8-B150-2B5062232211}" name="Name "/>
    <tableColumn id="2" xr3:uid="{69C0EE18-D8F8-4274-A147-21D30B566870}" name="Region"/>
    <tableColumn id="3" xr3:uid="{A382B405-29E3-46CA-871F-E1A109FA7099}" name="S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3381-A65D-48AA-AB6A-C22C6B451FC7}">
  <dimension ref="A1:M60"/>
  <sheetViews>
    <sheetView zoomScale="90" zoomScaleNormal="90" workbookViewId="0">
      <selection activeCell="A3" sqref="A3:B10"/>
    </sheetView>
  </sheetViews>
  <sheetFormatPr defaultRowHeight="14.5" x14ac:dyDescent="0.35"/>
  <cols>
    <col min="1" max="1" width="9.6328125" bestFit="1" customWidth="1"/>
    <col min="2" max="2" width="13.26953125" bestFit="1" customWidth="1"/>
    <col min="3" max="3" width="16.81640625" bestFit="1" customWidth="1"/>
    <col min="4" max="4" width="12.453125" bestFit="1" customWidth="1"/>
    <col min="5" max="5" width="17.54296875" bestFit="1" customWidth="1"/>
    <col min="6" max="6" width="13.7265625" bestFit="1" customWidth="1"/>
    <col min="7" max="7" width="16.81640625" bestFit="1" customWidth="1"/>
    <col min="8" max="8" width="12.453125" bestFit="1" customWidth="1"/>
    <col min="9" max="9" width="16.81640625" bestFit="1" customWidth="1"/>
    <col min="10" max="10" width="13.7265625" bestFit="1" customWidth="1"/>
    <col min="11" max="11" width="16.81640625" bestFit="1" customWidth="1"/>
    <col min="12" max="12" width="12.453125" bestFit="1" customWidth="1"/>
    <col min="13" max="13" width="28.54296875" bestFit="1" customWidth="1"/>
  </cols>
  <sheetData>
    <row r="1" spans="1:13" x14ac:dyDescent="0.35">
      <c r="A1" s="36" t="s">
        <v>45</v>
      </c>
      <c r="B1" s="36"/>
      <c r="C1" s="36"/>
      <c r="D1" s="36"/>
      <c r="E1" s="36"/>
      <c r="F1" s="36"/>
      <c r="G1" s="36"/>
      <c r="H1" s="36"/>
      <c r="I1" s="36"/>
      <c r="J1" s="36"/>
    </row>
    <row r="2" spans="1:13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</row>
    <row r="3" spans="1:13" x14ac:dyDescent="0.35">
      <c r="A3" s="1" t="s">
        <v>1</v>
      </c>
      <c r="B3" s="1" t="s">
        <v>20</v>
      </c>
      <c r="C3" s="5" t="s">
        <v>21</v>
      </c>
      <c r="D3" s="1" t="s">
        <v>22</v>
      </c>
      <c r="E3" s="6" t="s">
        <v>23</v>
      </c>
      <c r="F3" s="7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 spans="1:13" x14ac:dyDescent="0.35">
      <c r="A4" s="1" t="s">
        <v>3</v>
      </c>
      <c r="B4" s="2" t="s">
        <v>49</v>
      </c>
      <c r="C4" s="8" t="s">
        <v>4</v>
      </c>
      <c r="D4" s="2" t="s">
        <v>5</v>
      </c>
      <c r="E4" s="3">
        <v>45834</v>
      </c>
      <c r="F4" s="9">
        <v>10000</v>
      </c>
      <c r="G4" s="9">
        <f>F4*2%</f>
        <v>200</v>
      </c>
      <c r="H4" s="9">
        <f>((Table1[[#This Row],[SALARY]]+Table1[[#This Row],[BOUNS]])/2*0.01)</f>
        <v>51</v>
      </c>
      <c r="I4" s="9">
        <f t="shared" ref="I4:I11" si="0">(F4+G4-H4)*1.5%</f>
        <v>152.23499999999999</v>
      </c>
      <c r="J4" s="9">
        <f>Table1[[#This Row],[SALARY]]+Table1[[#This Row],[BOUNS]]-Table1[[#This Row],[TAX]]-Table1[[#This Row],[INSURANCE]]</f>
        <v>9996.7649999999994</v>
      </c>
      <c r="M4" t="s">
        <v>0</v>
      </c>
    </row>
    <row r="5" spans="1:13" x14ac:dyDescent="0.35">
      <c r="A5" s="1" t="s">
        <v>15</v>
      </c>
      <c r="B5" s="2" t="s">
        <v>49</v>
      </c>
      <c r="C5" s="8" t="s">
        <v>16</v>
      </c>
      <c r="D5" s="2" t="s">
        <v>17</v>
      </c>
      <c r="E5" s="3">
        <v>45677</v>
      </c>
      <c r="F5" s="9">
        <v>9000</v>
      </c>
      <c r="G5" s="9">
        <f t="shared" ref="G5:G11" si="1">F5*2%</f>
        <v>180</v>
      </c>
      <c r="H5" s="9">
        <f>((Table1[[#This Row],[SALARY]]+Table1[[#This Row],[BOUNS]])/2*0.01)</f>
        <v>45.9</v>
      </c>
      <c r="I5" s="9">
        <f t="shared" si="0"/>
        <v>137.01150000000001</v>
      </c>
      <c r="J5" s="9">
        <f>Table1[[#This Row],[SALARY]]+Table1[[#This Row],[BOUNS]]-Table1[[#This Row],[TAX]]-Table1[[#This Row],[INSURANCE]]</f>
        <v>8997.0884999999998</v>
      </c>
      <c r="M5" t="s">
        <v>2</v>
      </c>
    </row>
    <row r="6" spans="1:13" x14ac:dyDescent="0.35">
      <c r="A6" s="1" t="s">
        <v>46</v>
      </c>
      <c r="B6" s="2" t="s">
        <v>49</v>
      </c>
      <c r="C6" s="8" t="s">
        <v>29</v>
      </c>
      <c r="D6" s="2" t="s">
        <v>5</v>
      </c>
      <c r="E6" s="3">
        <v>44849</v>
      </c>
      <c r="F6" s="9">
        <v>12000</v>
      </c>
      <c r="G6" s="9">
        <f t="shared" si="1"/>
        <v>240</v>
      </c>
      <c r="H6" s="9">
        <f>((Table1[[#This Row],[SALARY]]+Table1[[#This Row],[BOUNS]])/2*0.01)</f>
        <v>61.2</v>
      </c>
      <c r="I6" s="9">
        <f t="shared" si="0"/>
        <v>182.68199999999999</v>
      </c>
      <c r="J6" s="9">
        <f>Table1[[#This Row],[SALARY]]+Table1[[#This Row],[BOUNS]]-Table1[[#This Row],[TAX]]-Table1[[#This Row],[INSURANCE]]</f>
        <v>11996.117999999999</v>
      </c>
      <c r="M6" t="s">
        <v>6</v>
      </c>
    </row>
    <row r="7" spans="1:13" x14ac:dyDescent="0.35">
      <c r="A7" s="1" t="s">
        <v>47</v>
      </c>
      <c r="B7" s="2" t="s">
        <v>8</v>
      </c>
      <c r="C7" s="8" t="s">
        <v>30</v>
      </c>
      <c r="D7" s="2" t="s">
        <v>17</v>
      </c>
      <c r="E7" s="3">
        <v>44776</v>
      </c>
      <c r="F7" s="9">
        <v>25000</v>
      </c>
      <c r="G7" s="9">
        <f t="shared" si="1"/>
        <v>500</v>
      </c>
      <c r="H7" s="9">
        <f>((Table1[[#This Row],[SALARY]]+Table1[[#This Row],[BOUNS]])/2*0.01)</f>
        <v>127.5</v>
      </c>
      <c r="I7" s="9">
        <f t="shared" si="0"/>
        <v>380.58749999999998</v>
      </c>
      <c r="J7" s="9">
        <f>Table1[[#This Row],[SALARY]]+Table1[[#This Row],[BOUNS]]-Table1[[#This Row],[TAX]]-Table1[[#This Row],[INSURANCE]]</f>
        <v>24991.912499999999</v>
      </c>
      <c r="M7" t="s">
        <v>11</v>
      </c>
    </row>
    <row r="8" spans="1:13" x14ac:dyDescent="0.35">
      <c r="A8" s="1" t="s">
        <v>12</v>
      </c>
      <c r="B8" s="2" t="s">
        <v>13</v>
      </c>
      <c r="C8" s="8" t="s">
        <v>14</v>
      </c>
      <c r="D8" s="2" t="s">
        <v>5</v>
      </c>
      <c r="E8" s="3">
        <v>44467</v>
      </c>
      <c r="F8" s="9">
        <v>10000</v>
      </c>
      <c r="G8" s="9">
        <f t="shared" si="1"/>
        <v>200</v>
      </c>
      <c r="H8" s="9">
        <f>((Table1[[#This Row],[SALARY]]+Table1[[#This Row],[BOUNS]])/2*0.01)</f>
        <v>51</v>
      </c>
      <c r="I8" s="9">
        <f t="shared" si="0"/>
        <v>152.23499999999999</v>
      </c>
      <c r="J8" s="9">
        <f>Table1[[#This Row],[SALARY]]+Table1[[#This Row],[BOUNS]]-Table1[[#This Row],[TAX]]-Table1[[#This Row],[INSURANCE]]</f>
        <v>9996.7649999999994</v>
      </c>
    </row>
    <row r="9" spans="1:13" x14ac:dyDescent="0.35">
      <c r="A9" s="1" t="s">
        <v>7</v>
      </c>
      <c r="B9" s="2" t="s">
        <v>50</v>
      </c>
      <c r="C9" s="8" t="s">
        <v>9</v>
      </c>
      <c r="D9" s="2" t="s">
        <v>10</v>
      </c>
      <c r="E9" s="3">
        <v>44428</v>
      </c>
      <c r="F9" s="9">
        <v>8000</v>
      </c>
      <c r="G9" s="9">
        <f t="shared" si="1"/>
        <v>160</v>
      </c>
      <c r="H9" s="9">
        <f>((Table1[[#This Row],[SALARY]]+Table1[[#This Row],[BOUNS]])/2*0.01)</f>
        <v>40.800000000000004</v>
      </c>
      <c r="I9" s="9">
        <f t="shared" si="0"/>
        <v>121.788</v>
      </c>
      <c r="J9" s="9">
        <f>Table1[[#This Row],[SALARY]]+Table1[[#This Row],[BOUNS]]-Table1[[#This Row],[TAX]]-Table1[[#This Row],[INSURANCE]]</f>
        <v>7997.4120000000003</v>
      </c>
    </row>
    <row r="10" spans="1:13" x14ac:dyDescent="0.35">
      <c r="A10" s="1" t="s">
        <v>18</v>
      </c>
      <c r="B10" s="4" t="s">
        <v>51</v>
      </c>
      <c r="C10" s="8" t="s">
        <v>19</v>
      </c>
      <c r="D10" s="2" t="s">
        <v>17</v>
      </c>
      <c r="E10" s="3">
        <v>44407</v>
      </c>
      <c r="F10" s="9">
        <v>20000</v>
      </c>
      <c r="G10" s="9">
        <f t="shared" si="1"/>
        <v>400</v>
      </c>
      <c r="H10" s="9">
        <f>((Table1[[#This Row],[SALARY]]+Table1[[#This Row],[BOUNS]])/2*0.01)</f>
        <v>102</v>
      </c>
      <c r="I10" s="9">
        <f t="shared" si="0"/>
        <v>304.46999999999997</v>
      </c>
      <c r="J10" s="9">
        <f>Table1[[#This Row],[SALARY]]+Table1[[#This Row],[BOUNS]]-Table1[[#This Row],[TAX]]-Table1[[#This Row],[INSURANCE]]</f>
        <v>19993.53</v>
      </c>
    </row>
    <row r="11" spans="1:13" x14ac:dyDescent="0.35">
      <c r="A11" s="1" t="s">
        <v>48</v>
      </c>
      <c r="B11" s="2" t="s">
        <v>13</v>
      </c>
      <c r="C11" s="8" t="s">
        <v>31</v>
      </c>
      <c r="D11" s="2" t="s">
        <v>10</v>
      </c>
      <c r="E11" s="3">
        <v>43926</v>
      </c>
      <c r="F11" s="9">
        <v>20000</v>
      </c>
      <c r="G11" s="9">
        <f t="shared" si="1"/>
        <v>400</v>
      </c>
      <c r="H11" s="9">
        <f>((Table1[[#This Row],[SALARY]]+Table1[[#This Row],[BOUNS]])/2*0.01)</f>
        <v>102</v>
      </c>
      <c r="I11" s="9">
        <f t="shared" si="0"/>
        <v>304.46999999999997</v>
      </c>
      <c r="J11" s="9">
        <f>Table1[[#This Row],[SALARY]]+Table1[[#This Row],[BOUNS]]-Table1[[#This Row],[TAX]]-Table1[[#This Row],[INSURANCE]]</f>
        <v>19993.53</v>
      </c>
    </row>
    <row r="12" spans="1:13" x14ac:dyDescent="0.35">
      <c r="A12" s="1" t="s">
        <v>32</v>
      </c>
      <c r="B12" s="2"/>
      <c r="C12" s="2"/>
      <c r="D12" s="2"/>
      <c r="E12" s="2"/>
      <c r="F12" s="9"/>
      <c r="G12" s="9"/>
      <c r="H12" s="9"/>
      <c r="I12" s="9"/>
      <c r="J12" s="9"/>
    </row>
    <row r="13" spans="1:13" x14ac:dyDescent="0.35">
      <c r="A13" s="1" t="s">
        <v>33</v>
      </c>
      <c r="B13" s="2"/>
      <c r="C13" s="8"/>
      <c r="D13" s="2"/>
      <c r="E13" s="3"/>
      <c r="F13" s="9">
        <f>SUBTOTAL(109,Table1[SALARY])</f>
        <v>114000</v>
      </c>
      <c r="G13" s="9">
        <f>SUBTOTAL(109,Table1[BOUNS])</f>
        <v>2280</v>
      </c>
      <c r="H13" s="9">
        <f>SUBTOTAL(109,Table1[TAX])</f>
        <v>581.40000000000009</v>
      </c>
      <c r="I13" s="9">
        <f>SUBTOTAL(109,Table1[INSURANCE])</f>
        <v>1735.479</v>
      </c>
      <c r="J13" s="9">
        <f>SUBTOTAL(109,Table1[[TOTAL ]])</f>
        <v>113963.12099999998</v>
      </c>
    </row>
    <row r="14" spans="1:13" x14ac:dyDescent="0.35">
      <c r="A14" s="1" t="s">
        <v>34</v>
      </c>
      <c r="B14" s="2"/>
      <c r="C14" s="2"/>
      <c r="D14" s="2"/>
      <c r="E14" s="2"/>
      <c r="F14" s="9">
        <f>COUNT(F4:F11)</f>
        <v>8</v>
      </c>
      <c r="G14" s="9">
        <f t="shared" ref="G14:I14" si="2">COUNT(G4:G11)</f>
        <v>8</v>
      </c>
      <c r="H14" s="9">
        <f t="shared" si="2"/>
        <v>8</v>
      </c>
      <c r="I14" s="9">
        <f t="shared" si="2"/>
        <v>8</v>
      </c>
      <c r="J14" s="9">
        <f>COUNT(J4:J11)</f>
        <v>8</v>
      </c>
    </row>
    <row r="15" spans="1:13" x14ac:dyDescent="0.35">
      <c r="A15" s="1" t="s">
        <v>35</v>
      </c>
      <c r="B15" s="2"/>
      <c r="C15" s="2"/>
      <c r="D15" s="2"/>
      <c r="E15" s="2"/>
      <c r="F15" s="9">
        <f>MIN(F4:F11)</f>
        <v>8000</v>
      </c>
      <c r="G15" s="9">
        <f t="shared" ref="G15:J15" si="3">MIN(G4:G11)</f>
        <v>160</v>
      </c>
      <c r="H15" s="9">
        <f t="shared" si="3"/>
        <v>40.800000000000004</v>
      </c>
      <c r="I15" s="9">
        <f t="shared" si="3"/>
        <v>121.788</v>
      </c>
      <c r="J15" s="9">
        <f t="shared" si="3"/>
        <v>7997.4120000000003</v>
      </c>
    </row>
    <row r="16" spans="1:13" x14ac:dyDescent="0.35">
      <c r="A16" s="1" t="s">
        <v>36</v>
      </c>
      <c r="B16" s="2"/>
      <c r="C16" s="2"/>
      <c r="D16" s="2"/>
      <c r="E16" s="2"/>
      <c r="F16" s="9">
        <f>MAX(F4:F11)</f>
        <v>25000</v>
      </c>
      <c r="G16" s="9">
        <f t="shared" ref="G16:J16" si="4">MAX(G4:G11)</f>
        <v>500</v>
      </c>
      <c r="H16" s="9">
        <f t="shared" si="4"/>
        <v>127.5</v>
      </c>
      <c r="I16" s="9">
        <f t="shared" si="4"/>
        <v>380.58749999999998</v>
      </c>
      <c r="J16" s="9">
        <f t="shared" si="4"/>
        <v>24991.912499999999</v>
      </c>
    </row>
    <row r="17" spans="1:12" x14ac:dyDescent="0.35">
      <c r="A17" s="1" t="s">
        <v>37</v>
      </c>
      <c r="B17" s="2"/>
      <c r="C17" s="2"/>
      <c r="D17" s="2"/>
      <c r="E17" s="2"/>
      <c r="F17" s="9">
        <f>AVERAGE(F4:F11)</f>
        <v>14250</v>
      </c>
      <c r="G17" s="9">
        <f t="shared" ref="G17:J17" si="5">AVERAGE(G4:G11)</f>
        <v>285</v>
      </c>
      <c r="H17" s="9">
        <f t="shared" si="5"/>
        <v>72.675000000000011</v>
      </c>
      <c r="I17" s="9">
        <f t="shared" si="5"/>
        <v>216.93487500000001</v>
      </c>
      <c r="J17" s="9">
        <f t="shared" si="5"/>
        <v>14245.390124999998</v>
      </c>
    </row>
    <row r="18" spans="1:12" x14ac:dyDescent="0.35">
      <c r="A18" s="1" t="s">
        <v>38</v>
      </c>
      <c r="B18" s="2"/>
      <c r="C18" s="2"/>
      <c r="D18" s="2"/>
      <c r="E18" s="2"/>
      <c r="F18" s="9">
        <f>F16-F15</f>
        <v>17000</v>
      </c>
      <c r="G18" s="9">
        <f t="shared" ref="G18:J18" si="6">G16-G15</f>
        <v>340</v>
      </c>
      <c r="H18" s="9">
        <f t="shared" si="6"/>
        <v>86.699999999999989</v>
      </c>
      <c r="I18" s="9">
        <f t="shared" si="6"/>
        <v>258.79949999999997</v>
      </c>
      <c r="J18" s="9">
        <f t="shared" si="6"/>
        <v>16994.500499999998</v>
      </c>
    </row>
    <row r="19" spans="1:12" x14ac:dyDescent="0.35">
      <c r="A19" s="1" t="s">
        <v>39</v>
      </c>
      <c r="B19" s="2"/>
      <c r="C19" s="2"/>
      <c r="D19" s="2"/>
      <c r="E19" s="2"/>
      <c r="F19" s="9">
        <f>_xlfn.STDEV.S(F4:F11)</f>
        <v>6430.9519401985008</v>
      </c>
      <c r="G19" s="9">
        <f t="shared" ref="G19:J19" si="7">_xlfn.STDEV.S(G4:G11)</f>
        <v>128.61903880397</v>
      </c>
      <c r="H19" s="9">
        <f t="shared" si="7"/>
        <v>32.797854895012328</v>
      </c>
      <c r="I19" s="9">
        <f t="shared" si="7"/>
        <v>97.901596861611793</v>
      </c>
      <c r="J19" s="9">
        <f t="shared" si="7"/>
        <v>6428.8715272458467</v>
      </c>
    </row>
    <row r="20" spans="1:12" x14ac:dyDescent="0.35">
      <c r="A20" s="1" t="s">
        <v>40</v>
      </c>
      <c r="B20" s="2"/>
      <c r="C20" s="2"/>
      <c r="D20" s="2"/>
      <c r="E20" s="2"/>
      <c r="F20" s="9">
        <f>QUARTILE(F4:F11,1)</f>
        <v>9750</v>
      </c>
      <c r="G20" s="9">
        <f t="shared" ref="G20:J20" si="8">QUARTILE(G4:G11,1)</f>
        <v>195</v>
      </c>
      <c r="H20" s="9">
        <f t="shared" si="8"/>
        <v>49.725000000000001</v>
      </c>
      <c r="I20" s="9">
        <f t="shared" si="8"/>
        <v>148.429125</v>
      </c>
      <c r="J20" s="9">
        <f t="shared" si="8"/>
        <v>9746.8458749999991</v>
      </c>
    </row>
    <row r="21" spans="1:12" x14ac:dyDescent="0.35">
      <c r="A21" s="1" t="s">
        <v>52</v>
      </c>
      <c r="B21" s="2"/>
      <c r="C21" s="2"/>
      <c r="D21" s="2"/>
      <c r="E21" s="2"/>
      <c r="F21" s="9">
        <f>QUARTILE(F4:F11,2)</f>
        <v>11000</v>
      </c>
      <c r="G21" s="9">
        <f t="shared" ref="G21:J21" si="9">QUARTILE(G4:G11,2)</f>
        <v>220</v>
      </c>
      <c r="H21" s="9">
        <f t="shared" si="9"/>
        <v>56.1</v>
      </c>
      <c r="I21" s="9">
        <f t="shared" si="9"/>
        <v>167.45849999999999</v>
      </c>
      <c r="J21" s="9">
        <f t="shared" si="9"/>
        <v>10996.441499999999</v>
      </c>
    </row>
    <row r="22" spans="1:12" x14ac:dyDescent="0.35">
      <c r="A22" s="1" t="s">
        <v>41</v>
      </c>
      <c r="B22" s="2"/>
      <c r="C22" s="2"/>
      <c r="D22" s="2"/>
      <c r="E22" s="2"/>
      <c r="F22" s="9">
        <f>QUARTILE(F4:F11,3)</f>
        <v>20000</v>
      </c>
      <c r="G22" s="9">
        <f t="shared" ref="G22:J22" si="10">QUARTILE(G4:G11,3)</f>
        <v>400</v>
      </c>
      <c r="H22" s="9">
        <f t="shared" si="10"/>
        <v>102</v>
      </c>
      <c r="I22" s="9">
        <f t="shared" si="10"/>
        <v>304.46999999999997</v>
      </c>
      <c r="J22" s="9">
        <f t="shared" si="10"/>
        <v>19993.53</v>
      </c>
    </row>
    <row r="23" spans="1:12" x14ac:dyDescent="0.35">
      <c r="A23" s="1" t="s">
        <v>42</v>
      </c>
      <c r="B23" s="2"/>
      <c r="C23" s="2"/>
      <c r="D23" s="2"/>
      <c r="E23" s="2"/>
      <c r="F23" s="9">
        <f>F22-F20</f>
        <v>10250</v>
      </c>
      <c r="G23" s="9">
        <f t="shared" ref="G23:J23" si="11">G22-G20</f>
        <v>205</v>
      </c>
      <c r="H23" s="9">
        <f t="shared" si="11"/>
        <v>52.274999999999999</v>
      </c>
      <c r="I23" s="9">
        <f t="shared" si="11"/>
        <v>156.04087499999997</v>
      </c>
      <c r="J23" s="9">
        <f t="shared" si="11"/>
        <v>10246.684125</v>
      </c>
    </row>
    <row r="24" spans="1:12" x14ac:dyDescent="0.35">
      <c r="A24" s="1" t="s">
        <v>43</v>
      </c>
      <c r="B24" s="2"/>
      <c r="C24" s="2"/>
      <c r="D24" s="2"/>
      <c r="E24" s="2"/>
      <c r="F24" s="9">
        <f>F20-1.5*F23</f>
        <v>-5625</v>
      </c>
      <c r="G24" s="9">
        <f t="shared" ref="G24:J24" si="12">G20-1.5*G23</f>
        <v>-112.5</v>
      </c>
      <c r="H24" s="9">
        <f t="shared" si="12"/>
        <v>-28.687499999999993</v>
      </c>
      <c r="I24" s="9">
        <f t="shared" si="12"/>
        <v>-85.632187499999958</v>
      </c>
      <c r="J24" s="9">
        <f t="shared" si="12"/>
        <v>-5623.1803125000006</v>
      </c>
    </row>
    <row r="25" spans="1:12" x14ac:dyDescent="0.35">
      <c r="A25" s="1" t="s">
        <v>44</v>
      </c>
      <c r="B25" s="2"/>
      <c r="C25" s="2"/>
      <c r="D25" s="2"/>
      <c r="E25" s="2"/>
      <c r="F25" s="9">
        <f>F22+F23*1.5</f>
        <v>35375</v>
      </c>
      <c r="G25" s="9">
        <f t="shared" ref="G25:J25" si="13">G22+G23*1.5</f>
        <v>707.5</v>
      </c>
      <c r="H25" s="9">
        <f t="shared" si="13"/>
        <v>180.41249999999999</v>
      </c>
      <c r="I25" s="9">
        <f t="shared" si="13"/>
        <v>538.5313124999999</v>
      </c>
      <c r="J25" s="9">
        <f t="shared" si="13"/>
        <v>35363.556187499998</v>
      </c>
    </row>
    <row r="30" spans="1:12" ht="15" thickBot="1" x14ac:dyDescent="0.4"/>
    <row r="31" spans="1:12" x14ac:dyDescent="0.35">
      <c r="C31" s="11" t="s">
        <v>24</v>
      </c>
      <c r="D31" s="11"/>
      <c r="E31" s="11" t="s">
        <v>25</v>
      </c>
      <c r="F31" s="11"/>
      <c r="G31" s="11" t="s">
        <v>26</v>
      </c>
      <c r="H31" s="11"/>
      <c r="I31" s="11" t="s">
        <v>27</v>
      </c>
      <c r="J31" s="11"/>
      <c r="K31" s="11" t="s">
        <v>28</v>
      </c>
      <c r="L31" s="11"/>
    </row>
    <row r="33" spans="3:12" x14ac:dyDescent="0.35">
      <c r="C33" t="s">
        <v>53</v>
      </c>
      <c r="D33">
        <v>14250</v>
      </c>
      <c r="E33" t="s">
        <v>53</v>
      </c>
      <c r="F33">
        <v>285</v>
      </c>
      <c r="G33" t="s">
        <v>53</v>
      </c>
      <c r="H33">
        <v>72.675000000000011</v>
      </c>
      <c r="I33" t="s">
        <v>53</v>
      </c>
      <c r="J33">
        <v>216.93487500000001</v>
      </c>
      <c r="K33" t="s">
        <v>53</v>
      </c>
      <c r="L33">
        <v>14245.390124999998</v>
      </c>
    </row>
    <row r="34" spans="3:12" x14ac:dyDescent="0.35">
      <c r="C34" t="s">
        <v>54</v>
      </c>
      <c r="D34">
        <v>2273.6848631995722</v>
      </c>
      <c r="E34" t="s">
        <v>54</v>
      </c>
      <c r="F34">
        <v>45.47369726399144</v>
      </c>
      <c r="G34" t="s">
        <v>54</v>
      </c>
      <c r="H34">
        <v>11.595792802317808</v>
      </c>
      <c r="I34" t="s">
        <v>54</v>
      </c>
      <c r="J34">
        <v>34.613441514918655</v>
      </c>
      <c r="K34" t="s">
        <v>54</v>
      </c>
      <c r="L34">
        <v>2272.9493261463272</v>
      </c>
    </row>
    <row r="35" spans="3:12" x14ac:dyDescent="0.35">
      <c r="C35" t="s">
        <v>55</v>
      </c>
      <c r="D35">
        <v>11000</v>
      </c>
      <c r="E35" t="s">
        <v>55</v>
      </c>
      <c r="F35">
        <v>220</v>
      </c>
      <c r="G35" t="s">
        <v>55</v>
      </c>
      <c r="H35">
        <v>56.1</v>
      </c>
      <c r="I35" t="s">
        <v>55</v>
      </c>
      <c r="J35">
        <v>167.45849999999999</v>
      </c>
      <c r="K35" t="s">
        <v>55</v>
      </c>
      <c r="L35">
        <v>10996.441499999999</v>
      </c>
    </row>
    <row r="36" spans="3:12" x14ac:dyDescent="0.35">
      <c r="C36" t="s">
        <v>56</v>
      </c>
      <c r="D36">
        <v>10000</v>
      </c>
      <c r="E36" t="s">
        <v>56</v>
      </c>
      <c r="F36">
        <v>200</v>
      </c>
      <c r="G36" t="s">
        <v>56</v>
      </c>
      <c r="H36">
        <v>51</v>
      </c>
      <c r="I36" t="s">
        <v>56</v>
      </c>
      <c r="J36">
        <v>152.23499999999999</v>
      </c>
      <c r="K36" t="s">
        <v>56</v>
      </c>
      <c r="L36">
        <v>9996.7649999999994</v>
      </c>
    </row>
    <row r="37" spans="3:12" x14ac:dyDescent="0.35">
      <c r="C37" t="s">
        <v>57</v>
      </c>
      <c r="D37">
        <v>6430.9519401985008</v>
      </c>
      <c r="E37" t="s">
        <v>57</v>
      </c>
      <c r="F37">
        <v>128.61903880397</v>
      </c>
      <c r="G37" t="s">
        <v>57</v>
      </c>
      <c r="H37">
        <v>32.797854895012328</v>
      </c>
      <c r="I37" t="s">
        <v>57</v>
      </c>
      <c r="J37">
        <v>97.901596861611793</v>
      </c>
      <c r="K37" t="s">
        <v>57</v>
      </c>
      <c r="L37">
        <v>6428.8715272458467</v>
      </c>
    </row>
    <row r="38" spans="3:12" x14ac:dyDescent="0.35">
      <c r="C38" t="s">
        <v>58</v>
      </c>
      <c r="D38">
        <v>41357142.857142858</v>
      </c>
      <c r="E38" t="s">
        <v>58</v>
      </c>
      <c r="F38">
        <v>16542.857142857141</v>
      </c>
      <c r="G38" t="s">
        <v>58</v>
      </c>
      <c r="H38">
        <v>1075.6992857142843</v>
      </c>
      <c r="I38" t="s">
        <v>58</v>
      </c>
      <c r="J38">
        <v>9584.7226680535568</v>
      </c>
      <c r="K38" t="s">
        <v>58</v>
      </c>
      <c r="L38">
        <v>41330389.11383234</v>
      </c>
    </row>
    <row r="39" spans="3:12" x14ac:dyDescent="0.35">
      <c r="C39" t="s">
        <v>59</v>
      </c>
      <c r="D39">
        <v>-1.1906896829445088</v>
      </c>
      <c r="E39" t="s">
        <v>59</v>
      </c>
      <c r="F39">
        <v>-1.1906896829445075</v>
      </c>
      <c r="G39" t="s">
        <v>59</v>
      </c>
      <c r="H39">
        <v>-1.1906896829445111</v>
      </c>
      <c r="I39" t="s">
        <v>59</v>
      </c>
      <c r="J39">
        <v>-1.1906896829445102</v>
      </c>
      <c r="K39" t="s">
        <v>59</v>
      </c>
      <c r="L39">
        <v>-1.1906896829445093</v>
      </c>
    </row>
    <row r="40" spans="3:12" x14ac:dyDescent="0.35">
      <c r="C40" t="s">
        <v>60</v>
      </c>
      <c r="D40">
        <v>0.76540453707607381</v>
      </c>
      <c r="E40" t="s">
        <v>60</v>
      </c>
      <c r="F40">
        <v>0.76540453707607414</v>
      </c>
      <c r="G40" t="s">
        <v>60</v>
      </c>
      <c r="H40">
        <v>0.7654045370760727</v>
      </c>
      <c r="I40" t="s">
        <v>60</v>
      </c>
      <c r="J40">
        <v>0.76540453707607337</v>
      </c>
      <c r="K40" t="s">
        <v>60</v>
      </c>
      <c r="L40">
        <v>0.76540453707607436</v>
      </c>
    </row>
    <row r="41" spans="3:12" x14ac:dyDescent="0.35">
      <c r="C41" t="s">
        <v>61</v>
      </c>
      <c r="D41">
        <v>17000</v>
      </c>
      <c r="E41" t="s">
        <v>61</v>
      </c>
      <c r="F41">
        <v>340</v>
      </c>
      <c r="G41" t="s">
        <v>61</v>
      </c>
      <c r="H41">
        <v>86.699999999999989</v>
      </c>
      <c r="I41" t="s">
        <v>61</v>
      </c>
      <c r="J41">
        <v>258.79949999999997</v>
      </c>
      <c r="K41" t="s">
        <v>61</v>
      </c>
      <c r="L41">
        <v>16994.500499999998</v>
      </c>
    </row>
    <row r="42" spans="3:12" x14ac:dyDescent="0.35">
      <c r="C42" t="s">
        <v>62</v>
      </c>
      <c r="D42">
        <v>8000</v>
      </c>
      <c r="E42" t="s">
        <v>62</v>
      </c>
      <c r="F42">
        <v>160</v>
      </c>
      <c r="G42" t="s">
        <v>62</v>
      </c>
      <c r="H42">
        <v>40.800000000000004</v>
      </c>
      <c r="I42" t="s">
        <v>62</v>
      </c>
      <c r="J42">
        <v>121.788</v>
      </c>
      <c r="K42" t="s">
        <v>62</v>
      </c>
      <c r="L42">
        <v>7997.4120000000003</v>
      </c>
    </row>
    <row r="43" spans="3:12" x14ac:dyDescent="0.35">
      <c r="C43" t="s">
        <v>63</v>
      </c>
      <c r="D43">
        <v>25000</v>
      </c>
      <c r="E43" t="s">
        <v>63</v>
      </c>
      <c r="F43">
        <v>500</v>
      </c>
      <c r="G43" t="s">
        <v>63</v>
      </c>
      <c r="H43">
        <v>127.5</v>
      </c>
      <c r="I43" t="s">
        <v>63</v>
      </c>
      <c r="J43">
        <v>380.58749999999998</v>
      </c>
      <c r="K43" t="s">
        <v>63</v>
      </c>
      <c r="L43">
        <v>24991.912499999999</v>
      </c>
    </row>
    <row r="44" spans="3:12" x14ac:dyDescent="0.35">
      <c r="C44" t="s">
        <v>64</v>
      </c>
      <c r="D44">
        <v>114000</v>
      </c>
      <c r="E44" t="s">
        <v>64</v>
      </c>
      <c r="F44">
        <v>2280</v>
      </c>
      <c r="G44" t="s">
        <v>64</v>
      </c>
      <c r="H44">
        <v>581.40000000000009</v>
      </c>
      <c r="I44" t="s">
        <v>64</v>
      </c>
      <c r="J44">
        <v>1735.479</v>
      </c>
      <c r="K44" t="s">
        <v>64</v>
      </c>
      <c r="L44">
        <v>113963.12099999998</v>
      </c>
    </row>
    <row r="45" spans="3:12" x14ac:dyDescent="0.35">
      <c r="C45" t="s">
        <v>65</v>
      </c>
      <c r="D45">
        <v>8</v>
      </c>
      <c r="E45" t="s">
        <v>65</v>
      </c>
      <c r="F45">
        <v>8</v>
      </c>
      <c r="G45" t="s">
        <v>65</v>
      </c>
      <c r="H45">
        <v>8</v>
      </c>
      <c r="I45" t="s">
        <v>65</v>
      </c>
      <c r="J45">
        <v>8</v>
      </c>
      <c r="K45" t="s">
        <v>65</v>
      </c>
      <c r="L45">
        <v>8</v>
      </c>
    </row>
    <row r="46" spans="3:12" x14ac:dyDescent="0.35">
      <c r="C46" t="s">
        <v>66</v>
      </c>
      <c r="D46">
        <v>25000</v>
      </c>
      <c r="E46" t="s">
        <v>66</v>
      </c>
      <c r="F46">
        <v>500</v>
      </c>
      <c r="G46" t="s">
        <v>66</v>
      </c>
      <c r="H46">
        <v>127.5</v>
      </c>
      <c r="I46" t="s">
        <v>66</v>
      </c>
      <c r="J46">
        <v>380.58749999999998</v>
      </c>
      <c r="K46" t="s">
        <v>66</v>
      </c>
      <c r="L46">
        <v>24991.912499999999</v>
      </c>
    </row>
    <row r="47" spans="3:12" ht="15" thickBot="1" x14ac:dyDescent="0.4">
      <c r="C47" s="10" t="s">
        <v>67</v>
      </c>
      <c r="D47" s="10">
        <v>8000</v>
      </c>
      <c r="E47" s="10" t="s">
        <v>67</v>
      </c>
      <c r="F47" s="10">
        <v>160</v>
      </c>
      <c r="G47" s="10" t="s">
        <v>67</v>
      </c>
      <c r="H47" s="10">
        <v>40.800000000000004</v>
      </c>
      <c r="I47" s="10" t="s">
        <v>67</v>
      </c>
      <c r="J47" s="10">
        <v>121.788</v>
      </c>
      <c r="K47" s="10" t="s">
        <v>67</v>
      </c>
      <c r="L47" s="10">
        <v>7997.4120000000003</v>
      </c>
    </row>
    <row r="48" spans="3:12" x14ac:dyDescent="0.35">
      <c r="D48" t="s">
        <v>68</v>
      </c>
    </row>
    <row r="52" spans="2:7" x14ac:dyDescent="0.35">
      <c r="B52" s="13" t="s">
        <v>69</v>
      </c>
      <c r="C52" s="13" t="s">
        <v>70</v>
      </c>
    </row>
    <row r="53" spans="2:7" ht="15" thickBot="1" x14ac:dyDescent="0.4">
      <c r="B53" s="14">
        <v>10000</v>
      </c>
      <c r="C53" s="14">
        <v>900</v>
      </c>
    </row>
    <row r="54" spans="2:7" x14ac:dyDescent="0.35">
      <c r="B54" s="14">
        <v>9000</v>
      </c>
      <c r="C54" s="14">
        <v>1700</v>
      </c>
      <c r="E54" s="11"/>
      <c r="F54" s="11" t="s">
        <v>69</v>
      </c>
      <c r="G54" s="11" t="s">
        <v>70</v>
      </c>
    </row>
    <row r="55" spans="2:7" x14ac:dyDescent="0.35">
      <c r="B55" s="14">
        <v>12000</v>
      </c>
      <c r="C55" s="14">
        <v>800</v>
      </c>
      <c r="E55" t="s">
        <v>69</v>
      </c>
      <c r="F55">
        <v>1</v>
      </c>
    </row>
    <row r="56" spans="2:7" ht="15" thickBot="1" x14ac:dyDescent="0.4">
      <c r="B56" s="14">
        <v>25000</v>
      </c>
      <c r="C56" s="14">
        <v>400</v>
      </c>
      <c r="E56" s="10" t="s">
        <v>70</v>
      </c>
      <c r="F56" s="10">
        <v>-0.81971439769573462</v>
      </c>
      <c r="G56" s="10">
        <v>1</v>
      </c>
    </row>
    <row r="57" spans="2:7" x14ac:dyDescent="0.35">
      <c r="B57" s="14">
        <v>10000</v>
      </c>
      <c r="C57" s="14">
        <v>800</v>
      </c>
    </row>
    <row r="58" spans="2:7" x14ac:dyDescent="0.35">
      <c r="B58" s="14">
        <v>8000</v>
      </c>
      <c r="C58" s="14">
        <v>1600</v>
      </c>
    </row>
    <row r="59" spans="2:7" x14ac:dyDescent="0.35">
      <c r="B59" s="14">
        <v>20000</v>
      </c>
      <c r="C59" s="14">
        <v>300</v>
      </c>
    </row>
    <row r="60" spans="2:7" x14ac:dyDescent="0.35">
      <c r="B60" s="14">
        <v>20000</v>
      </c>
      <c r="C60" s="14">
        <v>200</v>
      </c>
    </row>
  </sheetData>
  <autoFilter ref="A3:B25" xr:uid="{21683381-A65D-48AA-AB6A-C22C6B451FC7}"/>
  <mergeCells count="1">
    <mergeCell ref="A1:J2"/>
  </mergeCells>
  <conditionalFormatting sqref="A3:J25 A1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headerFooter>
    <oddHeader>&amp;L&amp;"Aptos"&amp;10&amp;K000000 Classified&amp;1#_x000D_</oddHead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A971-5A36-4D96-8D36-4AEE67D74754}">
  <dimension ref="A1:M56"/>
  <sheetViews>
    <sheetView workbookViewId="0">
      <selection activeCell="P16" sqref="P16"/>
    </sheetView>
  </sheetViews>
  <sheetFormatPr defaultRowHeight="14.5" x14ac:dyDescent="0.35"/>
  <cols>
    <col min="6" max="6" width="13.36328125" bestFit="1" customWidth="1"/>
    <col min="11" max="11" width="9.08984375" customWidth="1"/>
  </cols>
  <sheetData>
    <row r="1" spans="1:12" x14ac:dyDescent="0.35">
      <c r="A1" s="16" t="s">
        <v>71</v>
      </c>
      <c r="B1" s="16" t="s">
        <v>77</v>
      </c>
      <c r="J1" s="16" t="s">
        <v>71</v>
      </c>
      <c r="K1" s="16" t="s">
        <v>77</v>
      </c>
      <c r="L1" s="16" t="s">
        <v>84</v>
      </c>
    </row>
    <row r="2" spans="1:12" x14ac:dyDescent="0.35">
      <c r="A2" s="15" t="s">
        <v>72</v>
      </c>
      <c r="B2" s="15">
        <v>9</v>
      </c>
      <c r="J2" s="15" t="s">
        <v>72</v>
      </c>
      <c r="K2" s="15">
        <v>9</v>
      </c>
      <c r="L2" s="15" t="str">
        <f>IF(K2&gt;=5,"Pass","Fail")</f>
        <v>Pass</v>
      </c>
    </row>
    <row r="3" spans="1:12" x14ac:dyDescent="0.35">
      <c r="A3" s="15" t="s">
        <v>73</v>
      </c>
      <c r="B3" s="15">
        <v>5</v>
      </c>
      <c r="J3" s="15" t="s">
        <v>73</v>
      </c>
      <c r="K3" s="15">
        <v>5</v>
      </c>
      <c r="L3" s="15" t="str">
        <f t="shared" ref="L3:L8" si="0">IF(K3&gt;=5,"Pass","Fail")</f>
        <v>Pass</v>
      </c>
    </row>
    <row r="4" spans="1:12" x14ac:dyDescent="0.35">
      <c r="A4" s="15" t="s">
        <v>74</v>
      </c>
      <c r="B4" s="15">
        <v>8</v>
      </c>
      <c r="J4" s="15" t="s">
        <v>74</v>
      </c>
      <c r="K4" s="15">
        <v>8</v>
      </c>
      <c r="L4" s="15" t="str">
        <f t="shared" si="0"/>
        <v>Pass</v>
      </c>
    </row>
    <row r="5" spans="1:12" x14ac:dyDescent="0.35">
      <c r="A5" s="15" t="s">
        <v>3</v>
      </c>
      <c r="B5" s="15">
        <v>2</v>
      </c>
      <c r="J5" s="15" t="s">
        <v>3</v>
      </c>
      <c r="K5" s="15">
        <v>2</v>
      </c>
      <c r="L5" s="15" t="str">
        <f t="shared" si="0"/>
        <v>Fail</v>
      </c>
    </row>
    <row r="6" spans="1:12" x14ac:dyDescent="0.35">
      <c r="A6" s="15" t="s">
        <v>18</v>
      </c>
      <c r="B6" s="15">
        <v>7</v>
      </c>
      <c r="J6" s="15" t="s">
        <v>18</v>
      </c>
      <c r="K6" s="15">
        <v>7</v>
      </c>
      <c r="L6" s="15" t="str">
        <f t="shared" si="0"/>
        <v>Pass</v>
      </c>
    </row>
    <row r="7" spans="1:12" x14ac:dyDescent="0.35">
      <c r="A7" s="15" t="s">
        <v>75</v>
      </c>
      <c r="B7" s="15">
        <v>3</v>
      </c>
      <c r="J7" s="15" t="s">
        <v>75</v>
      </c>
      <c r="K7" s="15">
        <v>3</v>
      </c>
      <c r="L7" s="15" t="str">
        <f t="shared" si="0"/>
        <v>Fail</v>
      </c>
    </row>
    <row r="8" spans="1:12" x14ac:dyDescent="0.35">
      <c r="A8" s="15" t="s">
        <v>76</v>
      </c>
      <c r="B8" s="15">
        <v>6</v>
      </c>
      <c r="J8" s="15" t="s">
        <v>76</v>
      </c>
      <c r="K8" s="15">
        <v>6</v>
      </c>
      <c r="L8" s="15" t="str">
        <f t="shared" si="0"/>
        <v>Pass</v>
      </c>
    </row>
    <row r="16" spans="1:12" x14ac:dyDescent="0.35">
      <c r="A16" s="16" t="s">
        <v>71</v>
      </c>
      <c r="B16" s="16" t="s">
        <v>78</v>
      </c>
      <c r="C16" s="16" t="s">
        <v>79</v>
      </c>
      <c r="E16">
        <v>2000</v>
      </c>
      <c r="F16" s="12" t="s">
        <v>80</v>
      </c>
      <c r="J16" s="16" t="s">
        <v>71</v>
      </c>
      <c r="K16" s="16" t="s">
        <v>78</v>
      </c>
      <c r="L16" s="16" t="s">
        <v>79</v>
      </c>
    </row>
    <row r="17" spans="1:12" x14ac:dyDescent="0.35">
      <c r="A17" s="15" t="s">
        <v>72</v>
      </c>
      <c r="B17" s="15">
        <v>20000</v>
      </c>
      <c r="C17" s="15"/>
      <c r="E17" t="s">
        <v>81</v>
      </c>
      <c r="F17" s="17">
        <v>0.2</v>
      </c>
      <c r="J17" s="15" t="s">
        <v>72</v>
      </c>
      <c r="K17" s="15">
        <v>20000</v>
      </c>
      <c r="L17" s="15">
        <f>IF(K17&gt;=10000,K17*20%+2000,K17*10%+2000)</f>
        <v>6000</v>
      </c>
    </row>
    <row r="18" spans="1:12" x14ac:dyDescent="0.35">
      <c r="A18" s="15" t="s">
        <v>73</v>
      </c>
      <c r="B18" s="15">
        <v>50000</v>
      </c>
      <c r="C18" s="15"/>
      <c r="E18" t="s">
        <v>82</v>
      </c>
      <c r="F18" s="17">
        <v>0.1</v>
      </c>
      <c r="J18" s="15" t="s">
        <v>73</v>
      </c>
      <c r="K18" s="15">
        <v>50000</v>
      </c>
      <c r="L18" s="15">
        <f t="shared" ref="L18:L23" si="1">IF(K18&gt;=10000,K18*20%+2000,K18*10%+2000)</f>
        <v>12000</v>
      </c>
    </row>
    <row r="19" spans="1:12" x14ac:dyDescent="0.35">
      <c r="A19" s="15" t="s">
        <v>74</v>
      </c>
      <c r="B19" s="15">
        <v>12000</v>
      </c>
      <c r="C19" s="15"/>
      <c r="J19" s="15" t="s">
        <v>74</v>
      </c>
      <c r="K19" s="15">
        <v>12000</v>
      </c>
      <c r="L19" s="15">
        <f t="shared" si="1"/>
        <v>4400</v>
      </c>
    </row>
    <row r="20" spans="1:12" x14ac:dyDescent="0.35">
      <c r="A20" s="15" t="s">
        <v>3</v>
      </c>
      <c r="B20" s="15">
        <v>8000</v>
      </c>
      <c r="C20" s="15"/>
      <c r="J20" s="15" t="s">
        <v>3</v>
      </c>
      <c r="K20" s="15">
        <v>8000</v>
      </c>
      <c r="L20" s="15">
        <f t="shared" si="1"/>
        <v>2800</v>
      </c>
    </row>
    <row r="21" spans="1:12" x14ac:dyDescent="0.35">
      <c r="A21" s="15" t="s">
        <v>18</v>
      </c>
      <c r="B21" s="15">
        <v>7000</v>
      </c>
      <c r="C21" s="15"/>
      <c r="J21" s="15" t="s">
        <v>18</v>
      </c>
      <c r="K21" s="15">
        <v>7000</v>
      </c>
      <c r="L21" s="15">
        <f t="shared" si="1"/>
        <v>2700</v>
      </c>
    </row>
    <row r="22" spans="1:12" x14ac:dyDescent="0.35">
      <c r="A22" s="15" t="s">
        <v>75</v>
      </c>
      <c r="B22" s="15">
        <v>13000</v>
      </c>
      <c r="C22" s="15"/>
      <c r="J22" s="15" t="s">
        <v>75</v>
      </c>
      <c r="K22" s="15">
        <v>13000</v>
      </c>
      <c r="L22" s="15">
        <f t="shared" si="1"/>
        <v>4600</v>
      </c>
    </row>
    <row r="23" spans="1:12" x14ac:dyDescent="0.35">
      <c r="A23" s="15" t="s">
        <v>76</v>
      </c>
      <c r="B23" s="15">
        <v>6000</v>
      </c>
      <c r="C23" s="15"/>
      <c r="J23" s="15" t="s">
        <v>76</v>
      </c>
      <c r="K23" s="15">
        <v>6000</v>
      </c>
      <c r="L23" s="15">
        <f t="shared" si="1"/>
        <v>2600</v>
      </c>
    </row>
    <row r="36" spans="1:13" x14ac:dyDescent="0.35">
      <c r="A36" s="16" t="s">
        <v>71</v>
      </c>
      <c r="B36" s="16" t="s">
        <v>77</v>
      </c>
      <c r="C36" s="16" t="s">
        <v>83</v>
      </c>
      <c r="D36" s="15"/>
      <c r="J36" s="16" t="s">
        <v>71</v>
      </c>
      <c r="K36" s="16" t="s">
        <v>77</v>
      </c>
      <c r="L36" s="16" t="s">
        <v>83</v>
      </c>
      <c r="M36" s="15"/>
    </row>
    <row r="37" spans="1:13" x14ac:dyDescent="0.35">
      <c r="A37" s="15" t="s">
        <v>72</v>
      </c>
      <c r="B37" s="15">
        <v>2</v>
      </c>
      <c r="C37" s="15"/>
      <c r="D37" s="15"/>
      <c r="J37" s="15" t="s">
        <v>72</v>
      </c>
      <c r="K37" s="15">
        <v>2</v>
      </c>
      <c r="L37" s="15" t="str">
        <f>IF(K37&gt;=9,"ممتاز",IF(K37&gt;=7,"جيد جداً",IF(K37&gt;=5,"ناجح","راسب ")))</f>
        <v xml:space="preserve">راسب </v>
      </c>
      <c r="M37" s="15" t="str">
        <f>IF(K37&gt;=9,"A+",IF(K37&gt;=7,"B+",IF(K37&gt;=5,"c","F")))</f>
        <v>F</v>
      </c>
    </row>
    <row r="38" spans="1:13" x14ac:dyDescent="0.35">
      <c r="A38" s="15" t="s">
        <v>73</v>
      </c>
      <c r="B38" s="15">
        <v>5</v>
      </c>
      <c r="C38" s="15"/>
      <c r="D38" s="15"/>
      <c r="J38" s="15" t="s">
        <v>73</v>
      </c>
      <c r="K38" s="15">
        <v>5</v>
      </c>
      <c r="L38" s="15" t="str">
        <f t="shared" ref="L38:L43" si="2">IF(K38&gt;=9,"ممتاز",IF(K38&gt;=7,"جيد جداً",IF(K38&gt;=5,"ناجح","راسب ")))</f>
        <v>ناجح</v>
      </c>
      <c r="M38" s="15" t="str">
        <f t="shared" ref="M38:M43" si="3">IF(K38&gt;=9,"A+",IF(K38&gt;=7,"B+",IF(K38&gt;=5,"c","F")))</f>
        <v>c</v>
      </c>
    </row>
    <row r="39" spans="1:13" x14ac:dyDescent="0.35">
      <c r="A39" s="15" t="s">
        <v>74</v>
      </c>
      <c r="B39" s="15">
        <v>8</v>
      </c>
      <c r="C39" s="15"/>
      <c r="D39" s="15"/>
      <c r="J39" s="15" t="s">
        <v>74</v>
      </c>
      <c r="K39" s="15">
        <v>8</v>
      </c>
      <c r="L39" s="15" t="str">
        <f t="shared" si="2"/>
        <v>جيد جداً</v>
      </c>
      <c r="M39" s="15" t="str">
        <f t="shared" si="3"/>
        <v>B+</v>
      </c>
    </row>
    <row r="40" spans="1:13" x14ac:dyDescent="0.35">
      <c r="A40" s="15" t="s">
        <v>3</v>
      </c>
      <c r="B40" s="15">
        <v>9</v>
      </c>
      <c r="C40" s="15"/>
      <c r="D40" s="15"/>
      <c r="J40" s="15" t="s">
        <v>3</v>
      </c>
      <c r="K40" s="15">
        <v>9</v>
      </c>
      <c r="L40" s="15" t="str">
        <f t="shared" si="2"/>
        <v>ممتاز</v>
      </c>
      <c r="M40" s="15" t="str">
        <f t="shared" si="3"/>
        <v>A+</v>
      </c>
    </row>
    <row r="41" spans="1:13" x14ac:dyDescent="0.35">
      <c r="A41" s="15" t="s">
        <v>18</v>
      </c>
      <c r="B41" s="15">
        <v>7</v>
      </c>
      <c r="C41" s="15"/>
      <c r="D41" s="15"/>
      <c r="J41" s="15" t="s">
        <v>18</v>
      </c>
      <c r="K41" s="15">
        <v>7</v>
      </c>
      <c r="L41" s="15" t="str">
        <f t="shared" si="2"/>
        <v>جيد جداً</v>
      </c>
      <c r="M41" s="15" t="str">
        <f t="shared" si="3"/>
        <v>B+</v>
      </c>
    </row>
    <row r="42" spans="1:13" x14ac:dyDescent="0.35">
      <c r="A42" s="15" t="s">
        <v>75</v>
      </c>
      <c r="B42" s="15">
        <v>3</v>
      </c>
      <c r="C42" s="15"/>
      <c r="D42" s="15"/>
      <c r="J42" s="15" t="s">
        <v>75</v>
      </c>
      <c r="K42" s="15">
        <v>3</v>
      </c>
      <c r="L42" s="15" t="str">
        <f t="shared" si="2"/>
        <v xml:space="preserve">راسب </v>
      </c>
      <c r="M42" s="15" t="str">
        <f t="shared" si="3"/>
        <v>F</v>
      </c>
    </row>
    <row r="43" spans="1:13" x14ac:dyDescent="0.35">
      <c r="A43" s="15" t="s">
        <v>76</v>
      </c>
      <c r="B43" s="15">
        <v>6</v>
      </c>
      <c r="C43" s="15"/>
      <c r="D43" s="15"/>
      <c r="J43" s="15" t="s">
        <v>76</v>
      </c>
      <c r="K43" s="15">
        <v>6</v>
      </c>
      <c r="L43" s="15" t="str">
        <f t="shared" si="2"/>
        <v>ناجح</v>
      </c>
      <c r="M43" s="15" t="str">
        <f t="shared" si="3"/>
        <v>c</v>
      </c>
    </row>
    <row r="49" spans="1:12" x14ac:dyDescent="0.35">
      <c r="A49" s="16" t="s">
        <v>71</v>
      </c>
      <c r="B49" s="16" t="s">
        <v>85</v>
      </c>
      <c r="C49" s="15" t="s">
        <v>90</v>
      </c>
      <c r="J49" s="16" t="s">
        <v>71</v>
      </c>
      <c r="K49" s="16" t="s">
        <v>85</v>
      </c>
      <c r="L49" s="15" t="s">
        <v>90</v>
      </c>
    </row>
    <row r="50" spans="1:12" x14ac:dyDescent="0.35">
      <c r="A50" s="15" t="s">
        <v>72</v>
      </c>
      <c r="B50" s="15">
        <v>4</v>
      </c>
      <c r="C50" s="15"/>
      <c r="F50" s="19" t="s">
        <v>91</v>
      </c>
      <c r="G50" t="s">
        <v>86</v>
      </c>
      <c r="J50" s="15" t="s">
        <v>72</v>
      </c>
      <c r="K50" s="15">
        <v>4</v>
      </c>
      <c r="L50" s="15" t="str">
        <f>IF(K50&lt;=5,"A",IF(K50&lt;=10,"B",IF(K50&lt;=13,"C","D")))</f>
        <v>A</v>
      </c>
    </row>
    <row r="51" spans="1:12" x14ac:dyDescent="0.35">
      <c r="A51" s="15" t="s">
        <v>73</v>
      </c>
      <c r="B51" s="15">
        <v>5</v>
      </c>
      <c r="C51" s="15"/>
      <c r="F51" s="19" t="s">
        <v>93</v>
      </c>
      <c r="G51" t="s">
        <v>87</v>
      </c>
      <c r="J51" s="15" t="s">
        <v>73</v>
      </c>
      <c r="K51" s="15">
        <v>5</v>
      </c>
      <c r="L51" s="15" t="str">
        <f t="shared" ref="L51:L56" si="4">IF(K51&lt;=5,"A",IF(K51&lt;=10,"B",IF(K51&lt;=13,"C","D")))</f>
        <v>A</v>
      </c>
    </row>
    <row r="52" spans="1:12" x14ac:dyDescent="0.35">
      <c r="A52" s="15" t="s">
        <v>74</v>
      </c>
      <c r="B52" s="15">
        <v>8</v>
      </c>
      <c r="C52" s="15"/>
      <c r="F52" s="19" t="s">
        <v>94</v>
      </c>
      <c r="G52" t="s">
        <v>88</v>
      </c>
      <c r="J52" s="15" t="s">
        <v>74</v>
      </c>
      <c r="K52" s="15">
        <v>8</v>
      </c>
      <c r="L52" s="15" t="str">
        <f t="shared" si="4"/>
        <v>B</v>
      </c>
    </row>
    <row r="53" spans="1:12" x14ac:dyDescent="0.35">
      <c r="A53" s="15" t="s">
        <v>3</v>
      </c>
      <c r="B53" s="15">
        <v>9</v>
      </c>
      <c r="C53" s="15"/>
      <c r="F53" s="18" t="s">
        <v>92</v>
      </c>
      <c r="G53" t="s">
        <v>89</v>
      </c>
      <c r="J53" s="15" t="s">
        <v>3</v>
      </c>
      <c r="K53" s="15">
        <v>9</v>
      </c>
      <c r="L53" s="15" t="str">
        <f t="shared" si="4"/>
        <v>B</v>
      </c>
    </row>
    <row r="54" spans="1:12" x14ac:dyDescent="0.35">
      <c r="A54" s="15" t="s">
        <v>18</v>
      </c>
      <c r="B54" s="15">
        <v>17</v>
      </c>
      <c r="C54" s="15"/>
      <c r="J54" s="15" t="s">
        <v>18</v>
      </c>
      <c r="K54" s="15">
        <v>17</v>
      </c>
      <c r="L54" s="15" t="str">
        <f t="shared" si="4"/>
        <v>D</v>
      </c>
    </row>
    <row r="55" spans="1:12" x14ac:dyDescent="0.35">
      <c r="A55" s="15" t="s">
        <v>75</v>
      </c>
      <c r="B55" s="15">
        <v>13</v>
      </c>
      <c r="C55" s="15"/>
      <c r="J55" s="15" t="s">
        <v>75</v>
      </c>
      <c r="K55" s="15">
        <v>13</v>
      </c>
      <c r="L55" s="15" t="str">
        <f t="shared" si="4"/>
        <v>C</v>
      </c>
    </row>
    <row r="56" spans="1:12" x14ac:dyDescent="0.35">
      <c r="A56" s="15" t="s">
        <v>76</v>
      </c>
      <c r="B56" s="15">
        <v>4</v>
      </c>
      <c r="C56" s="15"/>
      <c r="J56" s="15" t="s">
        <v>76</v>
      </c>
      <c r="K56" s="15">
        <v>4</v>
      </c>
      <c r="L56" s="15" t="str">
        <f t="shared" si="4"/>
        <v>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FDF2-25D8-4065-ABCF-AC1FCFC3A1FC}">
  <dimension ref="A1:Y25"/>
  <sheetViews>
    <sheetView topLeftCell="L1" workbookViewId="0">
      <selection activeCell="P11" sqref="P11:Q11"/>
    </sheetView>
  </sheetViews>
  <sheetFormatPr defaultRowHeight="14.5" x14ac:dyDescent="0.35"/>
  <cols>
    <col min="1" max="1" width="9.6328125" bestFit="1" customWidth="1"/>
    <col min="2" max="2" width="13.26953125" bestFit="1" customWidth="1"/>
    <col min="3" max="3" width="11.81640625" bestFit="1" customWidth="1"/>
    <col min="4" max="4" width="14.7265625" bestFit="1" customWidth="1"/>
    <col min="5" max="5" width="17.453125" bestFit="1" customWidth="1"/>
    <col min="6" max="6" width="13.7265625" bestFit="1" customWidth="1"/>
    <col min="7" max="7" width="13.7265625" customWidth="1"/>
    <col min="8" max="8" width="11.6328125" bestFit="1" customWidth="1"/>
    <col min="9" max="9" width="10.08984375" bestFit="1" customWidth="1"/>
    <col min="10" max="10" width="12.7265625" bestFit="1" customWidth="1"/>
    <col min="11" max="11" width="13.7265625" bestFit="1" customWidth="1"/>
    <col min="16" max="16" width="9.6328125" bestFit="1" customWidth="1"/>
    <col min="17" max="17" width="13.26953125" bestFit="1" customWidth="1"/>
    <col min="18" max="18" width="11.81640625" bestFit="1" customWidth="1"/>
    <col min="19" max="19" width="14.7265625" bestFit="1" customWidth="1"/>
    <col min="20" max="20" width="17.453125" bestFit="1" customWidth="1"/>
    <col min="21" max="21" width="13.7265625" bestFit="1" customWidth="1"/>
    <col min="22" max="22" width="11.6328125" bestFit="1" customWidth="1"/>
    <col min="23" max="23" width="10.08984375" bestFit="1" customWidth="1"/>
    <col min="24" max="24" width="12.7265625" bestFit="1" customWidth="1"/>
    <col min="25" max="25" width="13.7265625" bestFit="1" customWidth="1"/>
  </cols>
  <sheetData>
    <row r="1" spans="1:25" x14ac:dyDescent="0.35">
      <c r="A1" s="36" t="s">
        <v>45</v>
      </c>
      <c r="B1" s="36"/>
      <c r="C1" s="36"/>
      <c r="D1" s="36"/>
      <c r="E1" s="36"/>
      <c r="F1" s="36"/>
      <c r="G1" s="36"/>
      <c r="H1" s="36"/>
      <c r="I1" s="36"/>
      <c r="J1" s="36"/>
      <c r="K1" s="36"/>
      <c r="P1" s="36" t="s">
        <v>45</v>
      </c>
      <c r="Q1" s="36"/>
      <c r="R1" s="36"/>
      <c r="S1" s="36"/>
      <c r="T1" s="36"/>
      <c r="U1" s="36"/>
      <c r="V1" s="36"/>
      <c r="W1" s="36"/>
      <c r="X1" s="36"/>
      <c r="Y1" s="36"/>
    </row>
    <row r="2" spans="1:25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 x14ac:dyDescent="0.35">
      <c r="A3" s="1" t="s">
        <v>1</v>
      </c>
      <c r="B3" s="1" t="s">
        <v>20</v>
      </c>
      <c r="C3" s="5" t="s">
        <v>21</v>
      </c>
      <c r="D3" s="1" t="s">
        <v>22</v>
      </c>
      <c r="E3" s="6" t="s">
        <v>23</v>
      </c>
      <c r="F3" s="7" t="s">
        <v>24</v>
      </c>
      <c r="G3" s="7" t="s">
        <v>95</v>
      </c>
      <c r="H3" s="1" t="s">
        <v>25</v>
      </c>
      <c r="I3" s="1" t="s">
        <v>26</v>
      </c>
      <c r="J3" s="1" t="s">
        <v>27</v>
      </c>
      <c r="K3" s="1" t="s">
        <v>28</v>
      </c>
      <c r="P3" s="1" t="s">
        <v>1</v>
      </c>
      <c r="Q3" s="1" t="s">
        <v>20</v>
      </c>
      <c r="R3" s="5" t="s">
        <v>21</v>
      </c>
      <c r="S3" s="1" t="s">
        <v>22</v>
      </c>
      <c r="T3" s="6" t="s">
        <v>23</v>
      </c>
      <c r="U3" s="7" t="s">
        <v>24</v>
      </c>
      <c r="V3" s="1" t="s">
        <v>25</v>
      </c>
      <c r="W3" s="1" t="s">
        <v>26</v>
      </c>
      <c r="X3" s="1" t="s">
        <v>27</v>
      </c>
      <c r="Y3" s="1" t="s">
        <v>28</v>
      </c>
    </row>
    <row r="4" spans="1:25" x14ac:dyDescent="0.35">
      <c r="A4" s="1" t="s">
        <v>3</v>
      </c>
      <c r="B4" s="2" t="s">
        <v>49</v>
      </c>
      <c r="C4" s="8" t="s">
        <v>4</v>
      </c>
      <c r="D4" s="2" t="s">
        <v>5</v>
      </c>
      <c r="E4" s="3">
        <v>45834</v>
      </c>
      <c r="F4" s="9">
        <v>10000</v>
      </c>
      <c r="G4" s="9">
        <f>IF(Table12[[#This Row],[SALARY]]="",MEDIAN($F$4:$F$11),Table12[[#This Row],[SALARY]])</f>
        <v>10000</v>
      </c>
      <c r="H4" s="9">
        <f t="shared" ref="H4:H11" si="0">F4*2%</f>
        <v>200</v>
      </c>
      <c r="I4" s="9">
        <f>((Table12[[#This Row],[SALARY]]+Table12[[#This Row],[BOUNS]])/2*0.01)</f>
        <v>51</v>
      </c>
      <c r="J4" s="9">
        <f t="shared" ref="J4:J11" si="1">(F4+H4-I4)*1.5%</f>
        <v>152.23499999999999</v>
      </c>
      <c r="K4" s="9">
        <f>Table12[[#This Row],[SALARY]]+Table12[[#This Row],[BOUNS]]-Table12[[#This Row],[TAX]]-Table12[[#This Row],[INSURANCE]]</f>
        <v>9996.7649999999994</v>
      </c>
      <c r="P4" s="1" t="s">
        <v>3</v>
      </c>
      <c r="Q4" s="2" t="s">
        <v>49</v>
      </c>
      <c r="R4" s="8" t="s">
        <v>4</v>
      </c>
      <c r="S4" s="2" t="s">
        <v>5</v>
      </c>
      <c r="T4" s="3">
        <v>45834</v>
      </c>
      <c r="U4" s="9">
        <v>10000</v>
      </c>
      <c r="V4" s="9">
        <f t="shared" ref="V4:V11" si="2">U4*2%</f>
        <v>200</v>
      </c>
      <c r="W4" s="9">
        <f>((Table124[[#This Row],[SALARY]]+Table124[[#This Row],[BOUNS]])/2*0.01)</f>
        <v>51</v>
      </c>
      <c r="X4" s="9">
        <f t="shared" ref="X4:X11" si="3">(U4+V4-W4)*1.5%</f>
        <v>152.23499999999999</v>
      </c>
      <c r="Y4" s="9">
        <f>Table124[[#This Row],[SALARY]]+Table124[[#This Row],[BOUNS]]-Table124[[#This Row],[TAX]]-Table124[[#This Row],[INSURANCE]]</f>
        <v>9996.7649999999994</v>
      </c>
    </row>
    <row r="5" spans="1:25" x14ac:dyDescent="0.35">
      <c r="A5" s="1" t="s">
        <v>15</v>
      </c>
      <c r="B5" s="2" t="s">
        <v>49</v>
      </c>
      <c r="C5" s="8" t="s">
        <v>16</v>
      </c>
      <c r="D5" s="2" t="s">
        <v>17</v>
      </c>
      <c r="E5" s="3">
        <v>45677</v>
      </c>
      <c r="F5" s="9"/>
      <c r="G5" s="9">
        <f>IF(Table12[[#This Row],[SALARY]]="",MEDIAN($F$4:$F$11),Table12[[#This Row],[SALARY]])</f>
        <v>12000</v>
      </c>
      <c r="H5" s="9">
        <f t="shared" si="0"/>
        <v>0</v>
      </c>
      <c r="I5" s="9">
        <f>((Table12[[#This Row],[SALARY]]+Table12[[#This Row],[BOUNS]])/2*0.01)</f>
        <v>0</v>
      </c>
      <c r="J5" s="9">
        <f t="shared" si="1"/>
        <v>0</v>
      </c>
      <c r="K5" s="9">
        <f>Table12[[#This Row],[SALARY]]+Table12[[#This Row],[BOUNS]]-Table12[[#This Row],[TAX]]-Table12[[#This Row],[INSURANCE]]</f>
        <v>0</v>
      </c>
      <c r="P5" s="1" t="s">
        <v>15</v>
      </c>
      <c r="Q5" s="2" t="s">
        <v>49</v>
      </c>
      <c r="R5" s="8" t="s">
        <v>16</v>
      </c>
      <c r="S5" s="2" t="s">
        <v>17</v>
      </c>
      <c r="T5" s="3">
        <v>45677</v>
      </c>
      <c r="U5" s="9">
        <f>IF(Table12[[#This Row],[SALARY]]="",MEDIAN($F$4:$F$11),Table12[[#This Row],[SALARY]])</f>
        <v>12000</v>
      </c>
      <c r="V5" s="9">
        <f t="shared" si="2"/>
        <v>240</v>
      </c>
      <c r="W5" s="9">
        <f>((Table124[[#This Row],[SALARY]]+Table124[[#This Row],[BOUNS]])/2*0.01)</f>
        <v>61.2</v>
      </c>
      <c r="X5" s="9">
        <f t="shared" si="3"/>
        <v>182.68199999999999</v>
      </c>
      <c r="Y5" s="9">
        <f>Table124[[#This Row],[SALARY]]+Table124[[#This Row],[BOUNS]]-Table124[[#This Row],[TAX]]-Table124[[#This Row],[INSURANCE]]</f>
        <v>11996.117999999999</v>
      </c>
    </row>
    <row r="6" spans="1:25" x14ac:dyDescent="0.35">
      <c r="A6" s="1" t="s">
        <v>46</v>
      </c>
      <c r="B6" s="2" t="s">
        <v>49</v>
      </c>
      <c r="C6" s="8" t="s">
        <v>29</v>
      </c>
      <c r="D6" s="2" t="s">
        <v>5</v>
      </c>
      <c r="E6" s="3">
        <v>44849</v>
      </c>
      <c r="F6" s="9">
        <v>12000</v>
      </c>
      <c r="G6" s="9">
        <f>IF(Table12[[#This Row],[SALARY]]="",MEDIAN($F$4:$F$11),Table12[[#This Row],[SALARY]])</f>
        <v>12000</v>
      </c>
      <c r="H6" s="9">
        <f t="shared" si="0"/>
        <v>240</v>
      </c>
      <c r="I6" s="9">
        <f>((Table12[[#This Row],[SALARY]]+Table12[[#This Row],[BOUNS]])/2*0.01)</f>
        <v>61.2</v>
      </c>
      <c r="J6" s="9">
        <f t="shared" si="1"/>
        <v>182.68199999999999</v>
      </c>
      <c r="K6" s="9">
        <f>Table12[[#This Row],[SALARY]]+Table12[[#This Row],[BOUNS]]-Table12[[#This Row],[TAX]]-Table12[[#This Row],[INSURANCE]]</f>
        <v>11996.117999999999</v>
      </c>
      <c r="P6" s="1" t="s">
        <v>46</v>
      </c>
      <c r="Q6" s="2" t="s">
        <v>49</v>
      </c>
      <c r="R6" s="8" t="s">
        <v>29</v>
      </c>
      <c r="S6" s="2" t="s">
        <v>5</v>
      </c>
      <c r="T6" s="3">
        <v>44849</v>
      </c>
      <c r="U6" s="9">
        <f>IF(Table12[[#This Row],[SALARY]]="",MEDIAN($F$4:$F$11),Table12[[#This Row],[SALARY]])</f>
        <v>12000</v>
      </c>
      <c r="V6" s="9">
        <f t="shared" si="2"/>
        <v>240</v>
      </c>
      <c r="W6" s="9">
        <f>((Table124[[#This Row],[SALARY]]+Table124[[#This Row],[BOUNS]])/2*0.01)</f>
        <v>61.2</v>
      </c>
      <c r="X6" s="9">
        <f t="shared" si="3"/>
        <v>182.68199999999999</v>
      </c>
      <c r="Y6" s="9">
        <f>Table124[[#This Row],[SALARY]]+Table124[[#This Row],[BOUNS]]-Table124[[#This Row],[TAX]]-Table124[[#This Row],[INSURANCE]]</f>
        <v>11996.117999999999</v>
      </c>
    </row>
    <row r="7" spans="1:25" x14ac:dyDescent="0.35">
      <c r="A7" s="1" t="s">
        <v>47</v>
      </c>
      <c r="B7" s="2" t="s">
        <v>8</v>
      </c>
      <c r="C7" s="8" t="s">
        <v>30</v>
      </c>
      <c r="D7" s="2" t="s">
        <v>17</v>
      </c>
      <c r="E7" s="3">
        <v>44776</v>
      </c>
      <c r="F7" s="9">
        <v>25000</v>
      </c>
      <c r="G7" s="9">
        <f>IF(Table12[[#This Row],[SALARY]]="",MEDIAN($F$4:$F$11),Table12[[#This Row],[SALARY]])</f>
        <v>25000</v>
      </c>
      <c r="H7" s="9">
        <f t="shared" si="0"/>
        <v>500</v>
      </c>
      <c r="I7" s="9">
        <f>((Table12[[#This Row],[SALARY]]+Table12[[#This Row],[BOUNS]])/2*0.01)</f>
        <v>127.5</v>
      </c>
      <c r="J7" s="9">
        <f t="shared" si="1"/>
        <v>380.58749999999998</v>
      </c>
      <c r="K7" s="9">
        <f>Table12[[#This Row],[SALARY]]+Table12[[#This Row],[BOUNS]]-Table12[[#This Row],[TAX]]-Table12[[#This Row],[INSURANCE]]</f>
        <v>24991.912499999999</v>
      </c>
      <c r="P7" s="1" t="s">
        <v>47</v>
      </c>
      <c r="Q7" s="2" t="s">
        <v>8</v>
      </c>
      <c r="R7" s="8" t="s">
        <v>30</v>
      </c>
      <c r="S7" s="2" t="s">
        <v>17</v>
      </c>
      <c r="T7" s="3">
        <v>44776</v>
      </c>
      <c r="U7" s="9">
        <f>IF(Table12[[#This Row],[SALARY]]="",MEDIAN($F$4:$F$11),Table12[[#This Row],[SALARY]])</f>
        <v>25000</v>
      </c>
      <c r="V7" s="9">
        <f t="shared" si="2"/>
        <v>500</v>
      </c>
      <c r="W7" s="9">
        <f>((Table124[[#This Row],[SALARY]]+Table124[[#This Row],[BOUNS]])/2*0.01)</f>
        <v>127.5</v>
      </c>
      <c r="X7" s="9">
        <f t="shared" si="3"/>
        <v>380.58749999999998</v>
      </c>
      <c r="Y7" s="9">
        <f>Table124[[#This Row],[SALARY]]+Table124[[#This Row],[BOUNS]]-Table124[[#This Row],[TAX]]-Table124[[#This Row],[INSURANCE]]</f>
        <v>24991.912499999999</v>
      </c>
    </row>
    <row r="8" spans="1:25" x14ac:dyDescent="0.35">
      <c r="A8" s="1" t="s">
        <v>12</v>
      </c>
      <c r="B8" s="2" t="s">
        <v>13</v>
      </c>
      <c r="C8" s="8" t="s">
        <v>14</v>
      </c>
      <c r="D8" s="2" t="s">
        <v>5</v>
      </c>
      <c r="E8" s="3">
        <v>44467</v>
      </c>
      <c r="F8" s="9"/>
      <c r="G8" s="9">
        <f>IF(Table12[[#This Row],[SALARY]]="",MEDIAN($F$4:$F$11),Table12[[#This Row],[SALARY]])</f>
        <v>12000</v>
      </c>
      <c r="H8" s="9">
        <f t="shared" si="0"/>
        <v>0</v>
      </c>
      <c r="I8" s="9">
        <f>((Table12[[#This Row],[SALARY]]+Table12[[#This Row],[BOUNS]])/2*0.01)</f>
        <v>0</v>
      </c>
      <c r="J8" s="9">
        <f t="shared" si="1"/>
        <v>0</v>
      </c>
      <c r="K8" s="9">
        <f>Table12[[#This Row],[SALARY]]+Table12[[#This Row],[BOUNS]]-Table12[[#This Row],[TAX]]-Table12[[#This Row],[INSURANCE]]</f>
        <v>0</v>
      </c>
      <c r="P8" s="1" t="s">
        <v>12</v>
      </c>
      <c r="Q8" s="2" t="s">
        <v>13</v>
      </c>
      <c r="R8" s="8" t="s">
        <v>14</v>
      </c>
      <c r="S8" s="2" t="s">
        <v>5</v>
      </c>
      <c r="T8" s="3">
        <v>44467</v>
      </c>
      <c r="U8" s="9">
        <f>IF(Table12[[#This Row],[SALARY]]="",MEDIAN($F$4:$F$11),Table12[[#This Row],[SALARY]])</f>
        <v>12000</v>
      </c>
      <c r="V8" s="9">
        <f t="shared" si="2"/>
        <v>240</v>
      </c>
      <c r="W8" s="9">
        <f>((Table124[[#This Row],[SALARY]]+Table124[[#This Row],[BOUNS]])/2*0.01)</f>
        <v>61.2</v>
      </c>
      <c r="X8" s="9">
        <f t="shared" si="3"/>
        <v>182.68199999999999</v>
      </c>
      <c r="Y8" s="9">
        <f>Table124[[#This Row],[SALARY]]+Table124[[#This Row],[BOUNS]]-Table124[[#This Row],[TAX]]-Table124[[#This Row],[INSURANCE]]</f>
        <v>11996.117999999999</v>
      </c>
    </row>
    <row r="9" spans="1:25" x14ac:dyDescent="0.35">
      <c r="A9" s="1" t="s">
        <v>7</v>
      </c>
      <c r="B9" s="2" t="s">
        <v>50</v>
      </c>
      <c r="C9" s="8" t="s">
        <v>9</v>
      </c>
      <c r="D9" s="2" t="s">
        <v>10</v>
      </c>
      <c r="E9" s="3">
        <v>44428</v>
      </c>
      <c r="F9" s="9">
        <v>8000</v>
      </c>
      <c r="G9" s="9">
        <f>IF(Table12[[#This Row],[SALARY]]="",MEDIAN($F$4:$F$11),Table12[[#This Row],[SALARY]])</f>
        <v>8000</v>
      </c>
      <c r="H9" s="9">
        <f t="shared" si="0"/>
        <v>160</v>
      </c>
      <c r="I9" s="9">
        <f>((Table12[[#This Row],[SALARY]]+Table12[[#This Row],[BOUNS]])/2*0.01)</f>
        <v>40.800000000000004</v>
      </c>
      <c r="J9" s="9">
        <f t="shared" si="1"/>
        <v>121.788</v>
      </c>
      <c r="K9" s="9">
        <f>Table12[[#This Row],[SALARY]]+Table12[[#This Row],[BOUNS]]-Table12[[#This Row],[TAX]]-Table12[[#This Row],[INSURANCE]]</f>
        <v>7997.4120000000003</v>
      </c>
      <c r="P9" s="1" t="s">
        <v>7</v>
      </c>
      <c r="Q9" s="2" t="s">
        <v>50</v>
      </c>
      <c r="R9" s="8" t="s">
        <v>9</v>
      </c>
      <c r="S9" s="2" t="s">
        <v>10</v>
      </c>
      <c r="T9" s="3">
        <v>44428</v>
      </c>
      <c r="U9" s="9">
        <f>IF(Table12[[#This Row],[SALARY]]="",MEDIAN($F$4:$F$11),Table12[[#This Row],[SALARY]])</f>
        <v>8000</v>
      </c>
      <c r="V9" s="9">
        <f t="shared" si="2"/>
        <v>160</v>
      </c>
      <c r="W9" s="9">
        <f>((Table124[[#This Row],[SALARY]]+Table124[[#This Row],[BOUNS]])/2*0.01)</f>
        <v>40.800000000000004</v>
      </c>
      <c r="X9" s="9">
        <f t="shared" si="3"/>
        <v>121.788</v>
      </c>
      <c r="Y9" s="9">
        <f>Table124[[#This Row],[SALARY]]+Table124[[#This Row],[BOUNS]]-Table124[[#This Row],[TAX]]-Table124[[#This Row],[INSURANCE]]</f>
        <v>7997.4120000000003</v>
      </c>
    </row>
    <row r="10" spans="1:25" x14ac:dyDescent="0.35">
      <c r="A10" s="1" t="s">
        <v>18</v>
      </c>
      <c r="B10" s="4" t="s">
        <v>51</v>
      </c>
      <c r="C10" s="8" t="s">
        <v>19</v>
      </c>
      <c r="D10" s="2" t="s">
        <v>17</v>
      </c>
      <c r="E10" s="3">
        <v>44407</v>
      </c>
      <c r="F10" s="9">
        <v>20000</v>
      </c>
      <c r="G10" s="9">
        <f>IF(Table12[[#This Row],[SALARY]]="",MEDIAN($F$4:$F$11),Table12[[#This Row],[SALARY]])</f>
        <v>20000</v>
      </c>
      <c r="H10" s="9">
        <f t="shared" si="0"/>
        <v>400</v>
      </c>
      <c r="I10" s="9">
        <f>((Table12[[#This Row],[SALARY]]+Table12[[#This Row],[BOUNS]])/2*0.01)</f>
        <v>102</v>
      </c>
      <c r="J10" s="9">
        <f t="shared" si="1"/>
        <v>304.46999999999997</v>
      </c>
      <c r="K10" s="9">
        <f>Table12[[#This Row],[SALARY]]+Table12[[#This Row],[BOUNS]]-Table12[[#This Row],[TAX]]-Table12[[#This Row],[INSURANCE]]</f>
        <v>19993.53</v>
      </c>
      <c r="P10" s="1" t="s">
        <v>18</v>
      </c>
      <c r="Q10" s="4" t="s">
        <v>51</v>
      </c>
      <c r="R10" s="8" t="s">
        <v>19</v>
      </c>
      <c r="S10" s="2" t="s">
        <v>17</v>
      </c>
      <c r="T10" s="3">
        <v>44407</v>
      </c>
      <c r="U10" s="9">
        <f>IF(Table12[[#This Row],[SALARY]]="",MEDIAN($F$4:$F$11),Table12[[#This Row],[SALARY]])</f>
        <v>20000</v>
      </c>
      <c r="V10" s="9">
        <f t="shared" si="2"/>
        <v>400</v>
      </c>
      <c r="W10" s="9">
        <f>((Table124[[#This Row],[SALARY]]+Table124[[#This Row],[BOUNS]])/2*0.01)</f>
        <v>102</v>
      </c>
      <c r="X10" s="9">
        <f t="shared" si="3"/>
        <v>304.46999999999997</v>
      </c>
      <c r="Y10" s="9">
        <f>Table124[[#This Row],[SALARY]]+Table124[[#This Row],[BOUNS]]-Table124[[#This Row],[TAX]]-Table124[[#This Row],[INSURANCE]]</f>
        <v>19993.53</v>
      </c>
    </row>
    <row r="11" spans="1:25" x14ac:dyDescent="0.35">
      <c r="A11" s="1" t="s">
        <v>48</v>
      </c>
      <c r="B11" s="2" t="s">
        <v>13</v>
      </c>
      <c r="C11" s="8" t="s">
        <v>31</v>
      </c>
      <c r="D11" s="2" t="s">
        <v>10</v>
      </c>
      <c r="E11" s="3">
        <v>43926</v>
      </c>
      <c r="F11" s="9"/>
      <c r="G11" s="9">
        <f>IF(Table12[[#This Row],[SALARY]]="",MEDIAN($F$4:$F$11),Table12[[#This Row],[SALARY]])</f>
        <v>12000</v>
      </c>
      <c r="H11" s="9">
        <f t="shared" si="0"/>
        <v>0</v>
      </c>
      <c r="I11" s="9">
        <f>((Table12[[#This Row],[SALARY]]+Table12[[#This Row],[BOUNS]])/2*0.01)</f>
        <v>0</v>
      </c>
      <c r="J11" s="9">
        <f t="shared" si="1"/>
        <v>0</v>
      </c>
      <c r="K11" s="9">
        <f>Table12[[#This Row],[SALARY]]+Table12[[#This Row],[BOUNS]]-Table12[[#This Row],[TAX]]-Table12[[#This Row],[INSURANCE]]</f>
        <v>0</v>
      </c>
      <c r="P11" s="1" t="s">
        <v>48</v>
      </c>
      <c r="Q11" s="2" t="s">
        <v>13</v>
      </c>
      <c r="R11" s="8" t="s">
        <v>31</v>
      </c>
      <c r="S11" s="2" t="s">
        <v>10</v>
      </c>
      <c r="T11" s="3">
        <v>43926</v>
      </c>
      <c r="U11" s="9">
        <f>IF(Table12[[#This Row],[SALARY]]="",MEDIAN($F$4:$F$11),Table12[[#This Row],[SALARY]])</f>
        <v>12000</v>
      </c>
      <c r="V11" s="9">
        <f t="shared" si="2"/>
        <v>240</v>
      </c>
      <c r="W11" s="9">
        <f>((Table124[[#This Row],[SALARY]]+Table124[[#This Row],[BOUNS]])/2*0.01)</f>
        <v>61.2</v>
      </c>
      <c r="X11" s="9">
        <f t="shared" si="3"/>
        <v>182.68199999999999</v>
      </c>
      <c r="Y11" s="9">
        <f>Table124[[#This Row],[SALARY]]+Table124[[#This Row],[BOUNS]]-Table124[[#This Row],[TAX]]-Table124[[#This Row],[INSURANCE]]</f>
        <v>11996.117999999999</v>
      </c>
    </row>
    <row r="12" spans="1:25" x14ac:dyDescent="0.35">
      <c r="A12" s="1" t="s">
        <v>32</v>
      </c>
      <c r="B12" s="2"/>
      <c r="C12" s="2"/>
      <c r="D12" s="2"/>
      <c r="E12" s="2"/>
      <c r="F12" s="9"/>
      <c r="G12" s="9"/>
      <c r="H12" s="9"/>
      <c r="I12" s="9"/>
      <c r="J12" s="9"/>
      <c r="K12" s="9"/>
      <c r="P12" s="1" t="s">
        <v>32</v>
      </c>
      <c r="Q12" s="2"/>
      <c r="R12" s="2"/>
      <c r="S12" s="2"/>
      <c r="T12" s="2"/>
      <c r="U12" s="9"/>
      <c r="V12" s="9"/>
      <c r="W12" s="9"/>
      <c r="X12" s="9"/>
      <c r="Y12" s="9"/>
    </row>
    <row r="13" spans="1:25" x14ac:dyDescent="0.35">
      <c r="A13" s="1" t="s">
        <v>33</v>
      </c>
      <c r="B13" s="2"/>
      <c r="C13" s="21"/>
      <c r="D13" s="22"/>
      <c r="E13" s="23"/>
      <c r="F13" s="20">
        <f>SUBTOTAL(109,Table12[SALARY])</f>
        <v>75000</v>
      </c>
      <c r="G13" s="27"/>
      <c r="H13" s="20">
        <f>SUBTOTAL(109,Table12[BOUNS])</f>
        <v>1500</v>
      </c>
      <c r="I13" s="20">
        <f>SUBTOTAL(109,Table12[TAX])</f>
        <v>382.5</v>
      </c>
      <c r="J13" s="20">
        <f>SUBTOTAL(109,Table12[INSURANCE])</f>
        <v>1141.7625</v>
      </c>
      <c r="K13" s="20">
        <f>SUBTOTAL(109,Table12[[TOTAL ]])</f>
        <v>74975.737499999988</v>
      </c>
      <c r="P13" s="1" t="s">
        <v>33</v>
      </c>
      <c r="Q13" s="2"/>
      <c r="R13" s="24"/>
      <c r="S13" s="25"/>
      <c r="T13" s="26"/>
      <c r="U13" s="27">
        <f>SUBTOTAL(109,Table124[SALARY])</f>
        <v>111000</v>
      </c>
      <c r="V13" s="27">
        <f>SUBTOTAL(109,Table124[BOUNS])</f>
        <v>2220</v>
      </c>
      <c r="W13" s="27">
        <f>SUBTOTAL(109,Table124[TAX])</f>
        <v>566.1</v>
      </c>
      <c r="X13" s="27">
        <f>SUBTOTAL(109,Table124[INSURANCE])</f>
        <v>1689.8084999999999</v>
      </c>
      <c r="Y13" s="27">
        <f>SUBTOTAL(109,Table124[[TOTAL ]])</f>
        <v>110964.09149999999</v>
      </c>
    </row>
    <row r="14" spans="1:25" x14ac:dyDescent="0.35">
      <c r="A14" s="1" t="s">
        <v>34</v>
      </c>
      <c r="B14" s="2"/>
      <c r="C14" s="2"/>
      <c r="D14" s="2"/>
      <c r="E14" s="2"/>
      <c r="F14" s="9">
        <f>COUNT(F4:F11)</f>
        <v>5</v>
      </c>
      <c r="G14" s="9"/>
      <c r="H14" s="9">
        <f t="shared" ref="H14:J14" si="4">COUNT(H4:H11)</f>
        <v>8</v>
      </c>
      <c r="I14" s="9">
        <f t="shared" si="4"/>
        <v>8</v>
      </c>
      <c r="J14" s="9">
        <f t="shared" si="4"/>
        <v>8</v>
      </c>
      <c r="K14" s="9">
        <f>COUNT(K4:K11)</f>
        <v>8</v>
      </c>
      <c r="P14" s="1" t="s">
        <v>34</v>
      </c>
      <c r="Q14" s="2"/>
      <c r="R14" s="2"/>
      <c r="S14" s="2"/>
      <c r="T14" s="2"/>
      <c r="U14" s="9">
        <f>COUNT(U4:U11)</f>
        <v>8</v>
      </c>
      <c r="V14" s="9">
        <f t="shared" ref="V14:X14" si="5">COUNT(V4:V11)</f>
        <v>8</v>
      </c>
      <c r="W14" s="9">
        <f t="shared" si="5"/>
        <v>8</v>
      </c>
      <c r="X14" s="9">
        <f t="shared" si="5"/>
        <v>8</v>
      </c>
      <c r="Y14" s="9">
        <f>COUNT(Y4:Y11)</f>
        <v>8</v>
      </c>
    </row>
    <row r="15" spans="1:25" x14ac:dyDescent="0.35">
      <c r="A15" s="1" t="s">
        <v>35</v>
      </c>
      <c r="B15" s="2"/>
      <c r="C15" s="2"/>
      <c r="D15" s="2"/>
      <c r="E15" s="2"/>
      <c r="F15" s="9">
        <f>MIN(F4:F11)</f>
        <v>8000</v>
      </c>
      <c r="G15" s="9"/>
      <c r="H15" s="9">
        <f t="shared" ref="H15:K15" si="6">MIN(H4:H11)</f>
        <v>0</v>
      </c>
      <c r="I15" s="9">
        <f t="shared" si="6"/>
        <v>0</v>
      </c>
      <c r="J15" s="9">
        <f t="shared" si="6"/>
        <v>0</v>
      </c>
      <c r="K15" s="9">
        <f t="shared" si="6"/>
        <v>0</v>
      </c>
      <c r="P15" s="1" t="s">
        <v>35</v>
      </c>
      <c r="Q15" s="2"/>
      <c r="R15" s="2"/>
      <c r="S15" s="2"/>
      <c r="T15" s="2"/>
      <c r="U15" s="9">
        <f>MIN(U4:U11)</f>
        <v>8000</v>
      </c>
      <c r="V15" s="9">
        <f t="shared" ref="V15:Y15" si="7">MIN(V4:V11)</f>
        <v>160</v>
      </c>
      <c r="W15" s="9">
        <f t="shared" si="7"/>
        <v>40.800000000000004</v>
      </c>
      <c r="X15" s="9">
        <f t="shared" si="7"/>
        <v>121.788</v>
      </c>
      <c r="Y15" s="9">
        <f t="shared" si="7"/>
        <v>7997.4120000000003</v>
      </c>
    </row>
    <row r="16" spans="1:25" x14ac:dyDescent="0.35">
      <c r="A16" s="1" t="s">
        <v>36</v>
      </c>
      <c r="B16" s="2"/>
      <c r="C16" s="2"/>
      <c r="D16" s="2"/>
      <c r="E16" s="2"/>
      <c r="F16" s="9">
        <f>MAX(F4:F11)</f>
        <v>25000</v>
      </c>
      <c r="G16" s="9"/>
      <c r="H16" s="9">
        <f t="shared" ref="H16:K16" si="8">MAX(H4:H11)</f>
        <v>500</v>
      </c>
      <c r="I16" s="9">
        <f t="shared" si="8"/>
        <v>127.5</v>
      </c>
      <c r="J16" s="9">
        <f t="shared" si="8"/>
        <v>380.58749999999998</v>
      </c>
      <c r="K16" s="9">
        <f t="shared" si="8"/>
        <v>24991.912499999999</v>
      </c>
      <c r="P16" s="1" t="s">
        <v>36</v>
      </c>
      <c r="Q16" s="2"/>
      <c r="R16" s="2"/>
      <c r="S16" s="2"/>
      <c r="T16" s="2"/>
      <c r="U16" s="9">
        <f>MAX(U4:U11)</f>
        <v>25000</v>
      </c>
      <c r="V16" s="9">
        <f t="shared" ref="V16:Y16" si="9">MAX(V4:V11)</f>
        <v>500</v>
      </c>
      <c r="W16" s="9">
        <f t="shared" si="9"/>
        <v>127.5</v>
      </c>
      <c r="X16" s="9">
        <f t="shared" si="9"/>
        <v>380.58749999999998</v>
      </c>
      <c r="Y16" s="9">
        <f t="shared" si="9"/>
        <v>24991.912499999999</v>
      </c>
    </row>
    <row r="17" spans="1:25" x14ac:dyDescent="0.35">
      <c r="A17" s="1" t="s">
        <v>37</v>
      </c>
      <c r="B17" s="2"/>
      <c r="C17" s="2"/>
      <c r="D17" s="2"/>
      <c r="E17" s="2"/>
      <c r="F17" s="9">
        <f>AVERAGE(F4:F11)</f>
        <v>15000</v>
      </c>
      <c r="G17" s="9"/>
      <c r="H17" s="9">
        <f t="shared" ref="H17:K17" si="10">AVERAGE(H4:H11)</f>
        <v>187.5</v>
      </c>
      <c r="I17" s="9">
        <f t="shared" si="10"/>
        <v>47.8125</v>
      </c>
      <c r="J17" s="9">
        <f t="shared" si="10"/>
        <v>142.72031250000001</v>
      </c>
      <c r="K17" s="9">
        <f t="shared" si="10"/>
        <v>9371.9671874999985</v>
      </c>
      <c r="P17" s="1" t="s">
        <v>37</v>
      </c>
      <c r="Q17" s="2"/>
      <c r="R17" s="2"/>
      <c r="S17" s="2"/>
      <c r="T17" s="2"/>
      <c r="U17" s="9">
        <f>AVERAGE(U4:U11)</f>
        <v>13875</v>
      </c>
      <c r="V17" s="9">
        <f t="shared" ref="V17:Y17" si="11">AVERAGE(V4:V11)</f>
        <v>277.5</v>
      </c>
      <c r="W17" s="9">
        <f t="shared" si="11"/>
        <v>70.762500000000003</v>
      </c>
      <c r="X17" s="9">
        <f t="shared" si="11"/>
        <v>211.22606249999998</v>
      </c>
      <c r="Y17" s="9">
        <f t="shared" si="11"/>
        <v>13870.511437499999</v>
      </c>
    </row>
    <row r="18" spans="1:25" x14ac:dyDescent="0.35">
      <c r="A18" s="1" t="s">
        <v>38</v>
      </c>
      <c r="B18" s="2"/>
      <c r="C18" s="2"/>
      <c r="D18" s="2"/>
      <c r="E18" s="2"/>
      <c r="F18" s="9">
        <f>F16-F15</f>
        <v>17000</v>
      </c>
      <c r="G18" s="9"/>
      <c r="H18" s="9">
        <f t="shared" ref="H18:K18" si="12">H16-H15</f>
        <v>500</v>
      </c>
      <c r="I18" s="9">
        <f t="shared" si="12"/>
        <v>127.5</v>
      </c>
      <c r="J18" s="9">
        <f t="shared" si="12"/>
        <v>380.58749999999998</v>
      </c>
      <c r="K18" s="9">
        <f t="shared" si="12"/>
        <v>24991.912499999999</v>
      </c>
      <c r="P18" s="1" t="s">
        <v>38</v>
      </c>
      <c r="Q18" s="2"/>
      <c r="R18" s="2"/>
      <c r="S18" s="2"/>
      <c r="T18" s="2"/>
      <c r="U18" s="9">
        <f>U16-U15</f>
        <v>17000</v>
      </c>
      <c r="V18" s="9">
        <f t="shared" ref="V18:Y18" si="13">V16-V15</f>
        <v>340</v>
      </c>
      <c r="W18" s="9">
        <f t="shared" si="13"/>
        <v>86.699999999999989</v>
      </c>
      <c r="X18" s="9">
        <f t="shared" si="13"/>
        <v>258.79949999999997</v>
      </c>
      <c r="Y18" s="9">
        <f t="shared" si="13"/>
        <v>16994.500499999998</v>
      </c>
    </row>
    <row r="19" spans="1:25" x14ac:dyDescent="0.35">
      <c r="A19" s="1" t="s">
        <v>39</v>
      </c>
      <c r="B19" s="2"/>
      <c r="C19" s="2"/>
      <c r="D19" s="2"/>
      <c r="E19" s="2"/>
      <c r="F19" s="9">
        <f>_xlfn.STDEV.S(F4:F11)</f>
        <v>7211.1025509279789</v>
      </c>
      <c r="G19" s="9"/>
      <c r="H19" s="9">
        <f t="shared" ref="H19:K19" si="14">_xlfn.STDEV.S(H4:H11)</f>
        <v>189.717835595015</v>
      </c>
      <c r="I19" s="9">
        <f t="shared" si="14"/>
        <v>48.378048076728831</v>
      </c>
      <c r="J19" s="9">
        <f t="shared" si="14"/>
        <v>144.4084735090355</v>
      </c>
      <c r="K19" s="9">
        <f t="shared" si="14"/>
        <v>9482.8230937600019</v>
      </c>
      <c r="P19" s="1" t="s">
        <v>39</v>
      </c>
      <c r="Q19" s="2"/>
      <c r="R19" s="2"/>
      <c r="S19" s="2"/>
      <c r="T19" s="2"/>
      <c r="U19" s="9">
        <f>_xlfn.STDEV.S(U4:U11)</f>
        <v>5667.8920243773173</v>
      </c>
      <c r="V19" s="9">
        <f t="shared" ref="V19:Y19" si="15">_xlfn.STDEV.S(V4:V11)</f>
        <v>113.35784048754634</v>
      </c>
      <c r="W19" s="9">
        <f t="shared" si="15"/>
        <v>28.906249324324314</v>
      </c>
      <c r="X19" s="9">
        <f t="shared" si="15"/>
        <v>86.285154233108102</v>
      </c>
      <c r="Y19" s="9">
        <f t="shared" si="15"/>
        <v>5666.0584613074252</v>
      </c>
    </row>
    <row r="20" spans="1:25" x14ac:dyDescent="0.35">
      <c r="A20" s="1" t="s">
        <v>40</v>
      </c>
      <c r="B20" s="2"/>
      <c r="C20" s="2"/>
      <c r="D20" s="2"/>
      <c r="E20" s="2"/>
      <c r="F20" s="9">
        <f>QUARTILE(F4:F11,1)</f>
        <v>10000</v>
      </c>
      <c r="G20" s="9"/>
      <c r="H20" s="9">
        <f t="shared" ref="H20:K20" si="16">QUARTILE(H4:H11,1)</f>
        <v>0</v>
      </c>
      <c r="I20" s="9">
        <f t="shared" si="16"/>
        <v>0</v>
      </c>
      <c r="J20" s="9">
        <f t="shared" si="16"/>
        <v>0</v>
      </c>
      <c r="K20" s="9">
        <f t="shared" si="16"/>
        <v>0</v>
      </c>
      <c r="P20" s="1" t="s">
        <v>40</v>
      </c>
      <c r="Q20" s="2"/>
      <c r="R20" s="2"/>
      <c r="S20" s="2"/>
      <c r="T20" s="2"/>
      <c r="U20" s="9">
        <f>QUARTILE(U4:U11,1)</f>
        <v>11500</v>
      </c>
      <c r="V20" s="9">
        <f t="shared" ref="V20:Y20" si="17">QUARTILE(V4:V11,1)</f>
        <v>230</v>
      </c>
      <c r="W20" s="9">
        <f t="shared" si="17"/>
        <v>58.650000000000006</v>
      </c>
      <c r="X20" s="9">
        <f t="shared" si="17"/>
        <v>175.07024999999999</v>
      </c>
      <c r="Y20" s="9">
        <f t="shared" si="17"/>
        <v>11496.279749999998</v>
      </c>
    </row>
    <row r="21" spans="1:25" x14ac:dyDescent="0.35">
      <c r="A21" s="1" t="s">
        <v>52</v>
      </c>
      <c r="B21" s="2"/>
      <c r="C21" s="2"/>
      <c r="D21" s="2"/>
      <c r="E21" s="2"/>
      <c r="F21" s="9">
        <f>QUARTILE(F4:F11,2)</f>
        <v>12000</v>
      </c>
      <c r="G21" s="9"/>
      <c r="H21" s="9">
        <f t="shared" ref="H21:K21" si="18">QUARTILE(H4:H11,2)</f>
        <v>180</v>
      </c>
      <c r="I21" s="9">
        <f t="shared" si="18"/>
        <v>45.900000000000006</v>
      </c>
      <c r="J21" s="9">
        <f t="shared" si="18"/>
        <v>137.01149999999998</v>
      </c>
      <c r="K21" s="9">
        <f t="shared" si="18"/>
        <v>8997.0884999999998</v>
      </c>
      <c r="P21" s="1" t="s">
        <v>52</v>
      </c>
      <c r="Q21" s="2"/>
      <c r="R21" s="2"/>
      <c r="S21" s="2"/>
      <c r="T21" s="2"/>
      <c r="U21" s="9">
        <f>QUARTILE(U4:U11,2)</f>
        <v>12000</v>
      </c>
      <c r="V21" s="9">
        <f t="shared" ref="V21:Y21" si="19">QUARTILE(V4:V11,2)</f>
        <v>240</v>
      </c>
      <c r="W21" s="9">
        <f t="shared" si="19"/>
        <v>61.2</v>
      </c>
      <c r="X21" s="9">
        <f t="shared" si="19"/>
        <v>182.68199999999999</v>
      </c>
      <c r="Y21" s="9">
        <f t="shared" si="19"/>
        <v>11996.117999999999</v>
      </c>
    </row>
    <row r="22" spans="1:25" x14ac:dyDescent="0.35">
      <c r="A22" s="1" t="s">
        <v>41</v>
      </c>
      <c r="B22" s="2"/>
      <c r="C22" s="2"/>
      <c r="D22" s="2"/>
      <c r="E22" s="2"/>
      <c r="F22" s="9">
        <f>QUARTILE(F4:F11,3)</f>
        <v>20000</v>
      </c>
      <c r="G22" s="9"/>
      <c r="H22" s="9">
        <f t="shared" ref="H22:K22" si="20">QUARTILE(H4:H11,3)</f>
        <v>280</v>
      </c>
      <c r="I22" s="9">
        <f t="shared" si="20"/>
        <v>71.400000000000006</v>
      </c>
      <c r="J22" s="9">
        <f t="shared" si="20"/>
        <v>213.12899999999999</v>
      </c>
      <c r="K22" s="9">
        <f t="shared" si="20"/>
        <v>13995.470999999998</v>
      </c>
      <c r="P22" s="1" t="s">
        <v>41</v>
      </c>
      <c r="Q22" s="2"/>
      <c r="R22" s="2"/>
      <c r="S22" s="2"/>
      <c r="T22" s="2"/>
      <c r="U22" s="9">
        <f>QUARTILE(U4:U11,3)</f>
        <v>14000</v>
      </c>
      <c r="V22" s="9">
        <f t="shared" ref="V22:Y22" si="21">QUARTILE(V4:V11,3)</f>
        <v>280</v>
      </c>
      <c r="W22" s="9">
        <f t="shared" si="21"/>
        <v>71.400000000000006</v>
      </c>
      <c r="X22" s="9">
        <f t="shared" si="21"/>
        <v>213.12899999999999</v>
      </c>
      <c r="Y22" s="9">
        <f t="shared" si="21"/>
        <v>13995.470999999998</v>
      </c>
    </row>
    <row r="23" spans="1:25" x14ac:dyDescent="0.35">
      <c r="A23" s="1" t="s">
        <v>42</v>
      </c>
      <c r="B23" s="2"/>
      <c r="C23" s="2"/>
      <c r="D23" s="2"/>
      <c r="E23" s="2"/>
      <c r="F23" s="9">
        <f>F22-F20</f>
        <v>10000</v>
      </c>
      <c r="G23" s="9"/>
      <c r="H23" s="9">
        <f t="shared" ref="H23:K23" si="22">H22-H20</f>
        <v>280</v>
      </c>
      <c r="I23" s="9">
        <f t="shared" si="22"/>
        <v>71.400000000000006</v>
      </c>
      <c r="J23" s="9">
        <f t="shared" si="22"/>
        <v>213.12899999999999</v>
      </c>
      <c r="K23" s="9">
        <f t="shared" si="22"/>
        <v>13995.470999999998</v>
      </c>
      <c r="P23" s="1" t="s">
        <v>42</v>
      </c>
      <c r="Q23" s="2"/>
      <c r="R23" s="2"/>
      <c r="S23" s="2"/>
      <c r="T23" s="2"/>
      <c r="U23" s="9">
        <f>U22-U20</f>
        <v>2500</v>
      </c>
      <c r="V23" s="9">
        <f t="shared" ref="V23:Y23" si="23">V22-V20</f>
        <v>50</v>
      </c>
      <c r="W23" s="9">
        <f t="shared" si="23"/>
        <v>12.75</v>
      </c>
      <c r="X23" s="9">
        <f t="shared" si="23"/>
        <v>38.058750000000003</v>
      </c>
      <c r="Y23" s="9">
        <f t="shared" si="23"/>
        <v>2499.1912499999999</v>
      </c>
    </row>
    <row r="24" spans="1:25" x14ac:dyDescent="0.35">
      <c r="A24" s="1" t="s">
        <v>43</v>
      </c>
      <c r="B24" s="2"/>
      <c r="C24" s="2"/>
      <c r="D24" s="2"/>
      <c r="E24" s="2"/>
      <c r="F24" s="9">
        <f>F20-1.5*F23</f>
        <v>-5000</v>
      </c>
      <c r="G24" s="9"/>
      <c r="H24" s="9">
        <f t="shared" ref="H24:K24" si="24">H20-1.5*H23</f>
        <v>-420</v>
      </c>
      <c r="I24" s="9">
        <f t="shared" si="24"/>
        <v>-107.10000000000001</v>
      </c>
      <c r="J24" s="9">
        <f t="shared" si="24"/>
        <v>-319.69349999999997</v>
      </c>
      <c r="K24" s="9">
        <f t="shared" si="24"/>
        <v>-20993.206499999997</v>
      </c>
      <c r="P24" s="1" t="s">
        <v>43</v>
      </c>
      <c r="Q24" s="2"/>
      <c r="R24" s="2"/>
      <c r="S24" s="2"/>
      <c r="T24" s="2"/>
      <c r="U24" s="9">
        <f>U20-1.5*U23</f>
        <v>7750</v>
      </c>
      <c r="V24" s="9">
        <f t="shared" ref="V24:Y24" si="25">V20-1.5*V23</f>
        <v>155</v>
      </c>
      <c r="W24" s="9">
        <f t="shared" si="25"/>
        <v>39.525000000000006</v>
      </c>
      <c r="X24" s="9">
        <f t="shared" si="25"/>
        <v>117.98212499999998</v>
      </c>
      <c r="Y24" s="9">
        <f t="shared" si="25"/>
        <v>7747.4928749999981</v>
      </c>
    </row>
    <row r="25" spans="1:25" x14ac:dyDescent="0.35">
      <c r="A25" s="1" t="s">
        <v>44</v>
      </c>
      <c r="B25" s="2"/>
      <c r="C25" s="2"/>
      <c r="D25" s="2"/>
      <c r="E25" s="2"/>
      <c r="F25" s="9">
        <f>F22+F23*1.5</f>
        <v>35000</v>
      </c>
      <c r="G25" s="9"/>
      <c r="H25" s="9">
        <f t="shared" ref="H25:K25" si="26">H22+H23*1.5</f>
        <v>700</v>
      </c>
      <c r="I25" s="9">
        <f t="shared" si="26"/>
        <v>178.5</v>
      </c>
      <c r="J25" s="9">
        <f t="shared" si="26"/>
        <v>532.82249999999999</v>
      </c>
      <c r="K25" s="9">
        <f t="shared" si="26"/>
        <v>34988.677499999991</v>
      </c>
      <c r="P25" s="1" t="s">
        <v>44</v>
      </c>
      <c r="Q25" s="2"/>
      <c r="R25" s="2"/>
      <c r="S25" s="2"/>
      <c r="T25" s="2"/>
      <c r="U25" s="9">
        <f>U22+U23*1.5</f>
        <v>17750</v>
      </c>
      <c r="V25" s="9">
        <f t="shared" ref="V25:Y25" si="27">V22+V23*1.5</f>
        <v>355</v>
      </c>
      <c r="W25" s="9">
        <f t="shared" si="27"/>
        <v>90.525000000000006</v>
      </c>
      <c r="X25" s="9">
        <f t="shared" si="27"/>
        <v>270.21712500000001</v>
      </c>
      <c r="Y25" s="9">
        <f t="shared" si="27"/>
        <v>17744.257874999996</v>
      </c>
    </row>
  </sheetData>
  <mergeCells count="2">
    <mergeCell ref="A1:K2"/>
    <mergeCell ref="P1:Y2"/>
  </mergeCells>
  <conditionalFormatting sqref="A3:K25 A1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3:Y3 P1 P12:Y25 P4:T11 V4:Y11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U4:U1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BFF0-1D5D-4162-B871-423E19F18ADF}">
  <dimension ref="A1:N20"/>
  <sheetViews>
    <sheetView topLeftCell="A10" workbookViewId="0">
      <selection activeCell="G10" sqref="G10"/>
    </sheetView>
  </sheetViews>
  <sheetFormatPr defaultRowHeight="14.5" x14ac:dyDescent="0.35"/>
  <cols>
    <col min="5" max="5" width="10.08984375" bestFit="1" customWidth="1"/>
    <col min="6" max="6" width="12.90625" bestFit="1" customWidth="1"/>
    <col min="17" max="17" width="50.54296875" bestFit="1" customWidth="1"/>
  </cols>
  <sheetData>
    <row r="1" spans="1:14" x14ac:dyDescent="0.35">
      <c r="A1" s="15" t="s">
        <v>1</v>
      </c>
      <c r="B1" s="15" t="s">
        <v>85</v>
      </c>
      <c r="C1" s="15" t="s">
        <v>115</v>
      </c>
      <c r="D1" s="15" t="s">
        <v>96</v>
      </c>
      <c r="E1" s="15" t="s">
        <v>97</v>
      </c>
    </row>
    <row r="2" spans="1:14" x14ac:dyDescent="0.35">
      <c r="A2" s="15" t="s">
        <v>98</v>
      </c>
      <c r="B2" s="15">
        <v>22</v>
      </c>
      <c r="C2" s="15">
        <v>85</v>
      </c>
      <c r="D2" s="15" t="s">
        <v>104</v>
      </c>
      <c r="E2" s="15" t="s">
        <v>106</v>
      </c>
      <c r="F2" s="15" t="s">
        <v>108</v>
      </c>
      <c r="G2" s="28" t="s">
        <v>87</v>
      </c>
    </row>
    <row r="3" spans="1:14" x14ac:dyDescent="0.35">
      <c r="A3" s="15" t="s">
        <v>99</v>
      </c>
      <c r="B3" s="15">
        <v>18</v>
      </c>
      <c r="C3" s="15">
        <v>50</v>
      </c>
      <c r="D3" s="15" t="s">
        <v>105</v>
      </c>
      <c r="E3" s="15" t="s">
        <v>107</v>
      </c>
      <c r="F3" s="15" t="s">
        <v>107</v>
      </c>
      <c r="G3" s="28" t="s">
        <v>109</v>
      </c>
      <c r="H3" s="38" t="s">
        <v>116</v>
      </c>
      <c r="I3" s="39"/>
      <c r="J3" s="39"/>
      <c r="K3" s="39"/>
      <c r="L3" s="39"/>
      <c r="M3" s="39"/>
    </row>
    <row r="4" spans="1:14" x14ac:dyDescent="0.35">
      <c r="A4" s="15" t="s">
        <v>100</v>
      </c>
      <c r="B4" s="15">
        <v>25</v>
      </c>
      <c r="C4" s="15">
        <v>44</v>
      </c>
      <c r="D4" s="15" t="s">
        <v>104</v>
      </c>
      <c r="E4" s="15" t="s">
        <v>107</v>
      </c>
      <c r="F4" s="15" t="s">
        <v>107</v>
      </c>
      <c r="G4" s="29">
        <v>1</v>
      </c>
    </row>
    <row r="5" spans="1:14" x14ac:dyDescent="0.35">
      <c r="A5" s="15" t="s">
        <v>101</v>
      </c>
      <c r="B5" s="15">
        <v>32</v>
      </c>
      <c r="C5" s="15">
        <v>90</v>
      </c>
      <c r="D5" s="15" t="s">
        <v>104</v>
      </c>
      <c r="E5" s="15" t="s">
        <v>106</v>
      </c>
      <c r="F5" s="15" t="s">
        <v>108</v>
      </c>
      <c r="G5" s="28" t="s">
        <v>87</v>
      </c>
    </row>
    <row r="6" spans="1:14" x14ac:dyDescent="0.35">
      <c r="A6" s="15" t="s">
        <v>102</v>
      </c>
      <c r="B6" s="15">
        <v>27</v>
      </c>
      <c r="C6" s="15">
        <v>60</v>
      </c>
      <c r="D6" s="15" t="s">
        <v>105</v>
      </c>
      <c r="E6" s="15" t="s">
        <v>107</v>
      </c>
      <c r="F6" s="15" t="s">
        <v>107</v>
      </c>
      <c r="G6" s="28" t="s">
        <v>109</v>
      </c>
    </row>
    <row r="7" spans="1:14" x14ac:dyDescent="0.35">
      <c r="A7" s="15" t="s">
        <v>103</v>
      </c>
      <c r="B7" s="15">
        <v>20</v>
      </c>
      <c r="C7" s="15">
        <v>47</v>
      </c>
      <c r="D7" s="15" t="s">
        <v>105</v>
      </c>
      <c r="E7" s="15" t="s">
        <v>107</v>
      </c>
      <c r="F7" s="15" t="s">
        <v>107</v>
      </c>
      <c r="G7" s="19">
        <v>1</v>
      </c>
    </row>
    <row r="13" spans="1:14" x14ac:dyDescent="0.35">
      <c r="A13" s="39" t="s">
        <v>117</v>
      </c>
      <c r="B13" s="39"/>
      <c r="C13" s="39"/>
      <c r="D13" s="39"/>
      <c r="E13" s="39"/>
      <c r="J13" s="37" t="s">
        <v>110</v>
      </c>
      <c r="K13" s="37"/>
      <c r="L13" t="s">
        <v>112</v>
      </c>
      <c r="M13" t="s">
        <v>113</v>
      </c>
      <c r="N13" t="s">
        <v>114</v>
      </c>
    </row>
    <row r="14" spans="1:14" x14ac:dyDescent="0.35">
      <c r="A14" s="15" t="s">
        <v>1</v>
      </c>
      <c r="B14" s="15" t="s">
        <v>85</v>
      </c>
      <c r="C14" s="15" t="s">
        <v>115</v>
      </c>
      <c r="D14" s="15" t="s">
        <v>96</v>
      </c>
      <c r="J14" s="12" t="b">
        <v>1</v>
      </c>
      <c r="K14" s="12" t="b">
        <v>1</v>
      </c>
      <c r="L14" s="12" t="b">
        <v>1</v>
      </c>
      <c r="M14" s="12" t="b">
        <v>1</v>
      </c>
      <c r="N14" s="12" t="s">
        <v>111</v>
      </c>
    </row>
    <row r="15" spans="1:14" x14ac:dyDescent="0.35">
      <c r="A15" s="15" t="s">
        <v>98</v>
      </c>
      <c r="B15" s="15">
        <v>22</v>
      </c>
      <c r="C15" s="15">
        <v>85</v>
      </c>
      <c r="D15" s="15" t="s">
        <v>104</v>
      </c>
      <c r="E15" t="str">
        <f>IF(AND(B15&gt;=18,C15&gt;70),"Eligible","Not Eligible")</f>
        <v>Eligible</v>
      </c>
      <c r="J15" s="12" t="b">
        <v>1</v>
      </c>
      <c r="K15" s="12" t="s">
        <v>111</v>
      </c>
      <c r="L15" s="12" t="s">
        <v>111</v>
      </c>
      <c r="M15" s="12" t="b">
        <v>1</v>
      </c>
      <c r="N15" s="12"/>
    </row>
    <row r="16" spans="1:14" x14ac:dyDescent="0.35">
      <c r="A16" s="15" t="s">
        <v>99</v>
      </c>
      <c r="B16" s="15">
        <v>18</v>
      </c>
      <c r="C16" s="15">
        <v>50</v>
      </c>
      <c r="D16" s="15" t="s">
        <v>105</v>
      </c>
      <c r="E16" t="str">
        <f t="shared" ref="E16:E20" si="0">IF(AND(B16&gt;=18,C16&gt;70),"Eligible","Not Eligible")</f>
        <v>Not Eligible</v>
      </c>
      <c r="J16" s="12" t="s">
        <v>111</v>
      </c>
      <c r="K16" s="12" t="b">
        <v>1</v>
      </c>
      <c r="L16" s="12" t="s">
        <v>111</v>
      </c>
      <c r="M16" s="12" t="b">
        <v>1</v>
      </c>
      <c r="N16" s="12" t="b">
        <v>1</v>
      </c>
    </row>
    <row r="17" spans="1:13" x14ac:dyDescent="0.35">
      <c r="A17" s="15" t="s">
        <v>100</v>
      </c>
      <c r="B17" s="15">
        <v>25</v>
      </c>
      <c r="C17" s="15">
        <v>44</v>
      </c>
      <c r="D17" s="15" t="s">
        <v>104</v>
      </c>
      <c r="E17" t="str">
        <f t="shared" si="0"/>
        <v>Not Eligible</v>
      </c>
      <c r="J17" s="12" t="s">
        <v>111</v>
      </c>
      <c r="K17" s="12" t="s">
        <v>111</v>
      </c>
      <c r="L17" s="12" t="s">
        <v>111</v>
      </c>
      <c r="M17" s="12" t="s">
        <v>111</v>
      </c>
    </row>
    <row r="18" spans="1:13" x14ac:dyDescent="0.35">
      <c r="A18" s="15" t="s">
        <v>101</v>
      </c>
      <c r="B18" s="15">
        <v>32</v>
      </c>
      <c r="C18" s="15">
        <v>90</v>
      </c>
      <c r="D18" s="15" t="s">
        <v>104</v>
      </c>
      <c r="E18" t="str">
        <f t="shared" si="0"/>
        <v>Eligible</v>
      </c>
    </row>
    <row r="19" spans="1:13" x14ac:dyDescent="0.35">
      <c r="A19" s="15" t="s">
        <v>102</v>
      </c>
      <c r="B19" s="15">
        <v>27</v>
      </c>
      <c r="C19" s="15">
        <v>60</v>
      </c>
      <c r="D19" s="15" t="s">
        <v>105</v>
      </c>
      <c r="E19" t="str">
        <f t="shared" si="0"/>
        <v>Not Eligible</v>
      </c>
    </row>
    <row r="20" spans="1:13" x14ac:dyDescent="0.35">
      <c r="A20" s="15" t="s">
        <v>103</v>
      </c>
      <c r="B20" s="15">
        <v>20</v>
      </c>
      <c r="C20" s="15">
        <v>47</v>
      </c>
      <c r="D20" s="15" t="s">
        <v>105</v>
      </c>
      <c r="E20" t="str">
        <f t="shared" si="0"/>
        <v>Not Eligible</v>
      </c>
    </row>
  </sheetData>
  <mergeCells count="3">
    <mergeCell ref="J13:K13"/>
    <mergeCell ref="H3:M3"/>
    <mergeCell ref="A13:E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6586-6A5A-432C-98B0-AD4D539F4CE8}">
  <dimension ref="A1:Q17"/>
  <sheetViews>
    <sheetView workbookViewId="0">
      <selection activeCell="B6" sqref="B6"/>
    </sheetView>
  </sheetViews>
  <sheetFormatPr defaultRowHeight="14.5" x14ac:dyDescent="0.35"/>
  <cols>
    <col min="1" max="1" width="6.453125" bestFit="1" customWidth="1"/>
    <col min="2" max="2" width="7.1796875" bestFit="1" customWidth="1"/>
    <col min="3" max="3" width="11.08984375" bestFit="1" customWidth="1"/>
    <col min="4" max="4" width="6.1796875" bestFit="1" customWidth="1"/>
    <col min="5" max="5" width="7.1796875" bestFit="1" customWidth="1"/>
    <col min="6" max="6" width="5.90625" bestFit="1" customWidth="1"/>
    <col min="7" max="7" width="8.453125" bestFit="1" customWidth="1"/>
    <col min="8" max="8" width="7.7265625" bestFit="1" customWidth="1"/>
    <col min="9" max="9" width="5.90625" bestFit="1" customWidth="1"/>
    <col min="10" max="10" width="7.7265625" bestFit="1" customWidth="1"/>
    <col min="11" max="11" width="8.453125" bestFit="1" customWidth="1"/>
    <col min="12" max="12" width="5.81640625" bestFit="1" customWidth="1"/>
  </cols>
  <sheetData>
    <row r="1" spans="1:17" x14ac:dyDescent="0.35">
      <c r="A1" t="s">
        <v>71</v>
      </c>
      <c r="B1" t="s">
        <v>118</v>
      </c>
      <c r="C1" t="s">
        <v>119</v>
      </c>
    </row>
    <row r="2" spans="1:17" x14ac:dyDescent="0.35">
      <c r="A2" t="s">
        <v>7</v>
      </c>
      <c r="B2" t="s">
        <v>122</v>
      </c>
      <c r="C2">
        <v>25000</v>
      </c>
    </row>
    <row r="3" spans="1:17" x14ac:dyDescent="0.35">
      <c r="A3" t="s">
        <v>120</v>
      </c>
      <c r="B3" t="s">
        <v>13</v>
      </c>
      <c r="C3">
        <v>12500</v>
      </c>
      <c r="G3" s="40" t="s">
        <v>127</v>
      </c>
      <c r="H3" s="40"/>
      <c r="I3" s="40"/>
    </row>
    <row r="4" spans="1:17" x14ac:dyDescent="0.35">
      <c r="A4" t="s">
        <v>121</v>
      </c>
      <c r="B4" t="s">
        <v>123</v>
      </c>
      <c r="C4">
        <v>25662</v>
      </c>
      <c r="G4" s="30" t="s">
        <v>1</v>
      </c>
      <c r="H4" s="30" t="s">
        <v>118</v>
      </c>
      <c r="I4" s="30" t="s">
        <v>119</v>
      </c>
      <c r="M4" s="40" t="s">
        <v>130</v>
      </c>
      <c r="N4" s="40"/>
      <c r="O4" s="40"/>
    </row>
    <row r="5" spans="1:17" x14ac:dyDescent="0.35">
      <c r="A5" t="s">
        <v>12</v>
      </c>
      <c r="B5" t="s">
        <v>122</v>
      </c>
      <c r="C5">
        <v>7110</v>
      </c>
      <c r="G5" s="33" t="s">
        <v>103</v>
      </c>
      <c r="H5" s="33" t="str">
        <f>VLOOKUP(G5,Table4[#All],2,0)</f>
        <v>Madinty</v>
      </c>
      <c r="I5" s="33">
        <f>VLOOKUP(G5,Table4[#All],3,0)</f>
        <v>4521</v>
      </c>
      <c r="M5" s="30" t="s">
        <v>1</v>
      </c>
      <c r="N5" s="30" t="s">
        <v>118</v>
      </c>
      <c r="O5" s="30" t="s">
        <v>119</v>
      </c>
    </row>
    <row r="6" spans="1:17" x14ac:dyDescent="0.35">
      <c r="A6" t="s">
        <v>3</v>
      </c>
      <c r="B6" t="s">
        <v>124</v>
      </c>
      <c r="C6">
        <v>12125</v>
      </c>
      <c r="M6" s="33" t="s">
        <v>103</v>
      </c>
      <c r="N6" s="33"/>
      <c r="O6" s="33">
        <f>VLOOKUP(M6,Table4[#All],3,0)</f>
        <v>4521</v>
      </c>
    </row>
    <row r="7" spans="1:17" x14ac:dyDescent="0.35">
      <c r="A7" t="s">
        <v>100</v>
      </c>
      <c r="B7" t="s">
        <v>125</v>
      </c>
      <c r="C7">
        <v>7122</v>
      </c>
    </row>
    <row r="8" spans="1:17" x14ac:dyDescent="0.35">
      <c r="A8" t="s">
        <v>101</v>
      </c>
      <c r="B8" t="s">
        <v>126</v>
      </c>
      <c r="C8">
        <v>17852</v>
      </c>
    </row>
    <row r="9" spans="1:17" x14ac:dyDescent="0.35">
      <c r="A9" t="s">
        <v>102</v>
      </c>
      <c r="B9" t="s">
        <v>124</v>
      </c>
      <c r="C9">
        <v>9852</v>
      </c>
    </row>
    <row r="10" spans="1:17" x14ac:dyDescent="0.35">
      <c r="A10" t="s">
        <v>103</v>
      </c>
      <c r="B10" t="s">
        <v>126</v>
      </c>
      <c r="C10">
        <v>4521</v>
      </c>
    </row>
    <row r="11" spans="1:17" x14ac:dyDescent="0.35">
      <c r="A11" t="s">
        <v>98</v>
      </c>
      <c r="B11" t="s">
        <v>125</v>
      </c>
      <c r="C11">
        <v>12365</v>
      </c>
    </row>
    <row r="12" spans="1:17" x14ac:dyDescent="0.35">
      <c r="A12" t="s">
        <v>99</v>
      </c>
      <c r="B12" t="s">
        <v>13</v>
      </c>
      <c r="C12">
        <v>30000</v>
      </c>
    </row>
    <row r="15" spans="1:17" x14ac:dyDescent="0.35">
      <c r="A15" s="31" t="str" cm="1">
        <f t="array" ref="A15:L17">TRANSPOSE(Table4[#All])</f>
        <v xml:space="preserve">Name </v>
      </c>
      <c r="B15" s="32" t="str">
        <v>Ahmed</v>
      </c>
      <c r="C15" s="32" t="str">
        <v>Mohammed</v>
      </c>
      <c r="D15" s="32" t="str">
        <v>Hanaa</v>
      </c>
      <c r="E15" s="32" t="str">
        <v>Mona</v>
      </c>
      <c r="F15" s="32" t="str">
        <v>Ali</v>
      </c>
      <c r="G15" s="32" t="str">
        <v>Shahd</v>
      </c>
      <c r="H15" s="32" t="str">
        <v>Ebram</v>
      </c>
      <c r="I15" s="32" t="str">
        <v>Islam</v>
      </c>
      <c r="J15" s="32" t="str">
        <v>Hager</v>
      </c>
      <c r="K15" s="32" t="str">
        <v>Shimaa</v>
      </c>
      <c r="L15" s="32" t="str">
        <v>Hany</v>
      </c>
      <c r="O15" s="40" t="s">
        <v>128</v>
      </c>
      <c r="P15" s="40"/>
      <c r="Q15" s="40"/>
    </row>
    <row r="16" spans="1:17" x14ac:dyDescent="0.35">
      <c r="A16" s="31" t="str">
        <v>Region</v>
      </c>
      <c r="B16" s="32" t="str">
        <v>Harram</v>
      </c>
      <c r="C16" s="32" t="str">
        <v>Dokki</v>
      </c>
      <c r="D16" s="32" t="str">
        <v>Maddi</v>
      </c>
      <c r="E16" s="32" t="str">
        <v>Harram</v>
      </c>
      <c r="F16" s="32" t="str">
        <v>Faysal</v>
      </c>
      <c r="G16" s="32" t="str">
        <v>Tagamoa</v>
      </c>
      <c r="H16" s="32" t="str">
        <v>Madinty</v>
      </c>
      <c r="I16" s="32" t="str">
        <v>Faysal</v>
      </c>
      <c r="J16" s="32" t="str">
        <v>Madinty</v>
      </c>
      <c r="K16" s="32" t="str">
        <v>Tagamoa</v>
      </c>
      <c r="L16" s="32" t="str">
        <v>Dokki</v>
      </c>
      <c r="O16" s="30" t="s">
        <v>1</v>
      </c>
      <c r="P16" s="30" t="s">
        <v>129</v>
      </c>
      <c r="Q16" s="30" t="s">
        <v>119</v>
      </c>
    </row>
    <row r="17" spans="1:17" x14ac:dyDescent="0.35">
      <c r="A17" s="31" t="str">
        <v>Sale</v>
      </c>
      <c r="B17" s="32">
        <v>25000</v>
      </c>
      <c r="C17" s="32">
        <v>12500</v>
      </c>
      <c r="D17" s="32">
        <v>25662</v>
      </c>
      <c r="E17" s="32">
        <v>7110</v>
      </c>
      <c r="F17" s="32">
        <v>12125</v>
      </c>
      <c r="G17" s="32">
        <v>7122</v>
      </c>
      <c r="H17" s="32">
        <v>17852</v>
      </c>
      <c r="I17" s="32">
        <v>9852</v>
      </c>
      <c r="J17" s="32">
        <v>4521</v>
      </c>
      <c r="K17" s="32">
        <v>12365</v>
      </c>
      <c r="L17" s="32">
        <v>30000</v>
      </c>
      <c r="O17" s="33" t="s">
        <v>7</v>
      </c>
      <c r="P17" s="33" t="str">
        <f>HLOOKUP(O17,_xlfn.ANCHORARRAY(A15),2,0)</f>
        <v>Harram</v>
      </c>
      <c r="Q17" s="33">
        <f>HLOOKUP(O17,_xlfn.ANCHORARRAY(A15),3,0)</f>
        <v>25000</v>
      </c>
    </row>
  </sheetData>
  <mergeCells count="3">
    <mergeCell ref="G3:I3"/>
    <mergeCell ref="O15:Q15"/>
    <mergeCell ref="M4:O4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A3AD-300F-430D-9D0B-EB3B4E311436}">
  <dimension ref="F5:S34"/>
  <sheetViews>
    <sheetView topLeftCell="J28" workbookViewId="0">
      <selection activeCell="Q6" sqref="Q6"/>
    </sheetView>
  </sheetViews>
  <sheetFormatPr defaultRowHeight="14.5" x14ac:dyDescent="0.35"/>
  <cols>
    <col min="13" max="13" width="11.453125" bestFit="1" customWidth="1"/>
  </cols>
  <sheetData>
    <row r="5" spans="7:14" x14ac:dyDescent="0.35">
      <c r="N5">
        <f>DATEDIF(DATE(2020,11,16),DATE(2025,6,7),"m")</f>
        <v>54</v>
      </c>
    </row>
    <row r="6" spans="7:14" x14ac:dyDescent="0.35">
      <c r="G6" t="s">
        <v>131</v>
      </c>
      <c r="H6">
        <f ca="1">TODAY()-DATE(2004,11,16)</f>
        <v>7746</v>
      </c>
    </row>
    <row r="9" spans="7:14" x14ac:dyDescent="0.35">
      <c r="H9">
        <f ca="1">DATE(2025,11,14)-TODAY()</f>
        <v>-78</v>
      </c>
    </row>
    <row r="10" spans="7:14" x14ac:dyDescent="0.35">
      <c r="M10">
        <f ca="1">(NOW()-TODAY())*24*60</f>
        <v>808.60200000344776</v>
      </c>
    </row>
    <row r="11" spans="7:14" x14ac:dyDescent="0.35">
      <c r="G11" t="s">
        <v>132</v>
      </c>
      <c r="H11">
        <f ca="1">DATEDIF(DATE(2020,11,16),TODAY(),"Y")</f>
        <v>5</v>
      </c>
    </row>
    <row r="15" spans="7:14" x14ac:dyDescent="0.35">
      <c r="H15" s="34">
        <f ca="1">DATE(YEAR(TODAY()),MONTH(TODAY())+1,1)</f>
        <v>46054</v>
      </c>
    </row>
    <row r="19" spans="6:19" x14ac:dyDescent="0.35">
      <c r="N19" t="s">
        <v>133</v>
      </c>
      <c r="O19" t="str">
        <f>LEFT(N19,2)</f>
        <v>or</v>
      </c>
      <c r="P19" t="str">
        <f>RIGHT(N19,3)</f>
        <v>202</v>
      </c>
      <c r="Q19" t="str">
        <f>MID(N19,2,3)</f>
        <v>r-2</v>
      </c>
      <c r="R19">
        <f>LEN(N19)</f>
        <v>6</v>
      </c>
      <c r="S19" t="str">
        <f>LEFT(N19,FIND("-",N19)-1)</f>
        <v>or</v>
      </c>
    </row>
    <row r="20" spans="6:19" x14ac:dyDescent="0.35">
      <c r="N20" t="s">
        <v>134</v>
      </c>
      <c r="O20" t="str">
        <f>LEFT(N20,2)</f>
        <v>cs</v>
      </c>
      <c r="P20" t="str">
        <f>RIGHT(N20,3)</f>
        <v>504</v>
      </c>
      <c r="Q20" t="str">
        <f>MID(N20,2,3)</f>
        <v>s-5</v>
      </c>
      <c r="R20">
        <f>LEN(N20)</f>
        <v>6</v>
      </c>
    </row>
    <row r="21" spans="6:19" x14ac:dyDescent="0.35">
      <c r="N21" t="s">
        <v>135</v>
      </c>
      <c r="O21" t="str">
        <f t="shared" ref="O21:O22" si="0">LEFT(N21,2)</f>
        <v>is</v>
      </c>
      <c r="P21" t="str">
        <f t="shared" ref="P21:P22" si="1">RIGHT(N21,3)</f>
        <v>305</v>
      </c>
      <c r="Q21" t="str">
        <f t="shared" ref="Q21:Q22" si="2">MID(N21,2,3)</f>
        <v>s-3</v>
      </c>
      <c r="R21">
        <f t="shared" ref="R21:R22" si="3">LEN(N21)</f>
        <v>6</v>
      </c>
    </row>
    <row r="22" spans="6:19" x14ac:dyDescent="0.35">
      <c r="F22" s="35" t="s">
        <v>137</v>
      </c>
      <c r="G22" s="35" t="str">
        <f>TRIM(PROPER(F22))</f>
        <v>Amal</v>
      </c>
      <c r="I22" s="35"/>
      <c r="N22" t="s">
        <v>136</v>
      </c>
      <c r="O22" t="str">
        <f t="shared" si="0"/>
        <v>it</v>
      </c>
      <c r="P22" t="str">
        <f t="shared" si="1"/>
        <v>101</v>
      </c>
      <c r="Q22" t="str">
        <f t="shared" si="2"/>
        <v>t-1</v>
      </c>
      <c r="R22">
        <f t="shared" si="3"/>
        <v>6</v>
      </c>
    </row>
    <row r="23" spans="6:19" x14ac:dyDescent="0.35">
      <c r="F23" s="35" t="s">
        <v>138</v>
      </c>
      <c r="G23" s="35" t="str">
        <f t="shared" ref="G23:G25" si="4">TRIM(PROPER(F23))</f>
        <v>Ahmed</v>
      </c>
      <c r="I23" s="35"/>
    </row>
    <row r="24" spans="6:19" x14ac:dyDescent="0.35">
      <c r="F24" s="35" t="s">
        <v>139</v>
      </c>
      <c r="G24" s="35" t="str">
        <f t="shared" si="4"/>
        <v>Omar</v>
      </c>
      <c r="I24" s="35"/>
    </row>
    <row r="25" spans="6:19" x14ac:dyDescent="0.35">
      <c r="F25" s="35" t="s">
        <v>140</v>
      </c>
      <c r="G25" s="35" t="str">
        <f t="shared" si="4"/>
        <v>Mariam</v>
      </c>
      <c r="I25" s="35"/>
    </row>
    <row r="32" spans="6:19" x14ac:dyDescent="0.35">
      <c r="H32" t="s">
        <v>141</v>
      </c>
      <c r="I32" t="s">
        <v>142</v>
      </c>
      <c r="J32" t="str">
        <f>H32&amp;""&amp;I32</f>
        <v>AHMED Fathy</v>
      </c>
    </row>
    <row r="33" spans="8:11" x14ac:dyDescent="0.35">
      <c r="H33" t="s">
        <v>144</v>
      </c>
      <c r="I33" t="s">
        <v>143</v>
      </c>
      <c r="J33" t="str">
        <f t="shared" ref="J33:J34" si="5">H33&amp;""&amp;I33</f>
        <v>rana amr</v>
      </c>
    </row>
    <row r="34" spans="8:11" x14ac:dyDescent="0.35">
      <c r="H34" t="s">
        <v>145</v>
      </c>
      <c r="I34" t="s">
        <v>146</v>
      </c>
      <c r="J34" t="str">
        <f t="shared" si="5"/>
        <v>abdo reda</v>
      </c>
      <c r="K34" t="str">
        <f>PROPER(_xlfn.CONCAT(H32,I32))</f>
        <v>Ahmed Fathy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CD976-B6B1-4EE1-9662-1654DC7B207F}">
  <dimension ref="A1:L23"/>
  <sheetViews>
    <sheetView tabSelected="1" workbookViewId="0">
      <selection sqref="A1:XFD1048576"/>
    </sheetView>
  </sheetViews>
  <sheetFormatPr defaultRowHeight="14.5" x14ac:dyDescent="0.35"/>
  <cols>
    <col min="1" max="1" width="13.26953125" bestFit="1" customWidth="1"/>
    <col min="11" max="11" width="13.90625" bestFit="1" customWidth="1"/>
    <col min="12" max="12" width="34.453125" bestFit="1" customWidth="1"/>
  </cols>
  <sheetData>
    <row r="1" spans="1:12" x14ac:dyDescent="0.35">
      <c r="A1" s="41" t="s">
        <v>1</v>
      </c>
      <c r="B1" s="41" t="s">
        <v>147</v>
      </c>
      <c r="C1" s="41" t="s">
        <v>20</v>
      </c>
      <c r="D1" s="41" t="s">
        <v>24</v>
      </c>
    </row>
    <row r="2" spans="1:12" x14ac:dyDescent="0.35">
      <c r="A2" s="42" t="s">
        <v>3</v>
      </c>
      <c r="B2" s="42" t="s">
        <v>148</v>
      </c>
      <c r="C2" s="42" t="s">
        <v>49</v>
      </c>
      <c r="D2" s="44">
        <v>10000</v>
      </c>
    </row>
    <row r="3" spans="1:12" x14ac:dyDescent="0.35">
      <c r="A3" s="43" t="s">
        <v>15</v>
      </c>
      <c r="B3" s="42" t="s">
        <v>149</v>
      </c>
      <c r="C3" s="43" t="s">
        <v>49</v>
      </c>
      <c r="D3" s="45">
        <v>12000</v>
      </c>
    </row>
    <row r="4" spans="1:12" x14ac:dyDescent="0.35">
      <c r="A4" s="42" t="s">
        <v>46</v>
      </c>
      <c r="B4" s="42" t="s">
        <v>148</v>
      </c>
      <c r="C4" s="42" t="s">
        <v>49</v>
      </c>
      <c r="D4" s="44">
        <v>12000</v>
      </c>
    </row>
    <row r="5" spans="1:12" x14ac:dyDescent="0.35">
      <c r="A5" s="43" t="s">
        <v>47</v>
      </c>
      <c r="B5" s="42" t="s">
        <v>149</v>
      </c>
      <c r="C5" s="43" t="s">
        <v>8</v>
      </c>
      <c r="D5" s="45">
        <v>25000</v>
      </c>
    </row>
    <row r="6" spans="1:12" x14ac:dyDescent="0.35">
      <c r="A6" s="42" t="s">
        <v>12</v>
      </c>
      <c r="B6" s="42" t="s">
        <v>149</v>
      </c>
      <c r="C6" s="42" t="s">
        <v>13</v>
      </c>
      <c r="D6" s="44">
        <v>12000</v>
      </c>
    </row>
    <row r="7" spans="1:12" x14ac:dyDescent="0.35">
      <c r="A7" s="43" t="s">
        <v>7</v>
      </c>
      <c r="B7" s="42" t="s">
        <v>148</v>
      </c>
      <c r="C7" s="43" t="s">
        <v>50</v>
      </c>
      <c r="D7" s="45">
        <v>8000</v>
      </c>
      <c r="K7" t="s">
        <v>151</v>
      </c>
      <c r="L7" t="s">
        <v>150</v>
      </c>
    </row>
    <row r="8" spans="1:12" x14ac:dyDescent="0.35">
      <c r="A8" s="42" t="s">
        <v>18</v>
      </c>
      <c r="B8" s="42" t="s">
        <v>148</v>
      </c>
      <c r="C8" s="42" t="s">
        <v>51</v>
      </c>
      <c r="D8" s="44">
        <v>20000</v>
      </c>
    </row>
    <row r="9" spans="1:12" x14ac:dyDescent="0.35">
      <c r="A9" s="43" t="s">
        <v>48</v>
      </c>
      <c r="B9" s="42" t="s">
        <v>148</v>
      </c>
      <c r="C9" s="43" t="s">
        <v>13</v>
      </c>
      <c r="D9" s="45">
        <v>12000</v>
      </c>
    </row>
    <row r="13" spans="1:12" x14ac:dyDescent="0.35">
      <c r="A13" s="35" t="s">
        <v>148</v>
      </c>
      <c r="B13" s="35"/>
    </row>
    <row r="14" spans="1:12" x14ac:dyDescent="0.35">
      <c r="A14" s="35" t="s">
        <v>149</v>
      </c>
      <c r="B14" s="35"/>
    </row>
    <row r="16" spans="1:12" x14ac:dyDescent="0.35">
      <c r="A16" s="35" t="s">
        <v>49</v>
      </c>
      <c r="B16" s="35"/>
    </row>
    <row r="17" spans="1:2" x14ac:dyDescent="0.35">
      <c r="A17" s="35" t="s">
        <v>8</v>
      </c>
      <c r="B17" s="35"/>
    </row>
    <row r="18" spans="1:2" x14ac:dyDescent="0.35">
      <c r="A18" s="35" t="s">
        <v>13</v>
      </c>
      <c r="B18" s="35"/>
    </row>
    <row r="19" spans="1:2" x14ac:dyDescent="0.35">
      <c r="A19" s="35" t="s">
        <v>153</v>
      </c>
      <c r="B19" s="35"/>
    </row>
    <row r="20" spans="1:2" x14ac:dyDescent="0.35">
      <c r="A20" s="35" t="s">
        <v>152</v>
      </c>
      <c r="B20" s="35"/>
    </row>
    <row r="21" spans="1:2" x14ac:dyDescent="0.35">
      <c r="A21" s="35" t="s">
        <v>125</v>
      </c>
      <c r="B21" s="35"/>
    </row>
    <row r="22" spans="1:2" x14ac:dyDescent="0.35">
      <c r="A22" s="35" t="s">
        <v>154</v>
      </c>
      <c r="B22" s="35"/>
    </row>
    <row r="23" spans="1:2" x14ac:dyDescent="0.35">
      <c r="A23" s="35" t="s">
        <v>155</v>
      </c>
      <c r="B23" s="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5C53-DB39-4D5A-95DE-219DF5B7BF1C}">
  <dimension ref="A1"/>
  <sheetViews>
    <sheetView workbookViewId="0">
      <selection activeCell="E1" sqref="A1:E20"/>
    </sheetView>
  </sheetViews>
  <sheetFormatPr defaultRowHeight="14.5" x14ac:dyDescent="0.35"/>
  <cols>
    <col min="1" max="1" width="13.26953125" bestFit="1" customWidth="1"/>
    <col min="2" max="2" width="11.08984375" customWidth="1"/>
    <col min="4" max="4" width="9.6328125" bestFit="1" customWidth="1"/>
    <col min="5" max="5" width="13.26953125" bestFit="1" customWidth="1"/>
    <col min="6" max="6" width="7" bestFit="1" customWidth="1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Sheet1</vt:lpstr>
      <vt:lpstr>Sheet4</vt:lpstr>
      <vt:lpstr>DATA VIS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Fathy</dc:creator>
  <cp:keywords/>
  <dc:description/>
  <cp:lastModifiedBy>احمد فتحى كمال مشرف</cp:lastModifiedBy>
  <cp:revision/>
  <dcterms:created xsi:type="dcterms:W3CDTF">2015-06-05T18:17:20Z</dcterms:created>
  <dcterms:modified xsi:type="dcterms:W3CDTF">2026-01-31T11:29:46Z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f7727a-510c-40ce-a418-7fdfc8e6513f_Enabled">
    <vt:lpwstr>true</vt:lpwstr>
  </property>
  <property fmtid="{D5CDD505-2E9C-101B-9397-08002B2CF9AE}" pid="3" name="MSIP_Label_00f7727a-510c-40ce-a418-7fdfc8e6513f_SetDate">
    <vt:lpwstr>2026-01-22T21:41:11Z</vt:lpwstr>
  </property>
  <property fmtid="{D5CDD505-2E9C-101B-9397-08002B2CF9AE}" pid="4" name="MSIP_Label_00f7727a-510c-40ce-a418-7fdfc8e6513f_Method">
    <vt:lpwstr>Standard</vt:lpwstr>
  </property>
  <property fmtid="{D5CDD505-2E9C-101B-9397-08002B2CF9AE}" pid="5" name="MSIP_Label_00f7727a-510c-40ce-a418-7fdfc8e6513f_Name">
    <vt:lpwstr>Classified (without encryption)</vt:lpwstr>
  </property>
  <property fmtid="{D5CDD505-2E9C-101B-9397-08002B2CF9AE}" pid="6" name="MSIP_Label_00f7727a-510c-40ce-a418-7fdfc8e6513f_SiteId">
    <vt:lpwstr>75b2f54b-feff-400d-8e0b-67102edb9a23</vt:lpwstr>
  </property>
  <property fmtid="{D5CDD505-2E9C-101B-9397-08002B2CF9AE}" pid="7" name="MSIP_Label_00f7727a-510c-40ce-a418-7fdfc8e6513f_ActionId">
    <vt:lpwstr>b6c21d8e-6488-4321-afd5-5a7b767b1838</vt:lpwstr>
  </property>
  <property fmtid="{D5CDD505-2E9C-101B-9397-08002B2CF9AE}" pid="8" name="MSIP_Label_00f7727a-510c-40ce-a418-7fdfc8e6513f_ContentBits">
    <vt:lpwstr>1</vt:lpwstr>
  </property>
  <property fmtid="{D5CDD505-2E9C-101B-9397-08002B2CF9AE}" pid="9" name="MSIP_Label_00f7727a-510c-40ce-a418-7fdfc8e6513f_Tag">
    <vt:lpwstr>10, 3, 0, 1</vt:lpwstr>
  </property>
</Properties>
</file>