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8D63F119-52FA-498E-AD0C-585B5E4470D7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Data before cleaning" sheetId="4" r:id="rId1"/>
    <sheet name="DV(1)" sheetId="8" r:id="rId2"/>
    <sheet name="Note" sheetId="12" r:id="rId3"/>
  </sheets>
  <definedNames>
    <definedName name="_xlchart.v1.0" hidden="1">'DV(1)'!$A$69:$A$76</definedName>
    <definedName name="_xlchart.v1.1" hidden="1">'DV(1)'!$B$68</definedName>
    <definedName name="_xlchart.v1.2" hidden="1">'DV(1)'!$B$69:$B$76</definedName>
    <definedName name="_xlchart.v1.3" hidden="1">'DV(1)'!$A$93:$A$100</definedName>
    <definedName name="_xlchart.v1.4" hidden="1">'DV(1)'!$B$92</definedName>
    <definedName name="_xlchart.v1.5" hidden="1">'DV(1)'!$B$93:$B$100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8" l="1"/>
  <c r="B32" i="8"/>
  <c r="B69" i="8" l="1"/>
  <c r="B70" i="8"/>
  <c r="B71" i="8"/>
  <c r="B72" i="8"/>
  <c r="B73" i="8"/>
  <c r="B74" i="8"/>
  <c r="B75" i="8"/>
  <c r="B76" i="8"/>
  <c r="B47" i="8"/>
  <c r="B48" i="8"/>
  <c r="B49" i="8"/>
  <c r="B50" i="8"/>
</calcChain>
</file>

<file path=xl/sharedStrings.xml><?xml version="1.0" encoding="utf-8"?>
<sst xmlns="http://schemas.openxmlformats.org/spreadsheetml/2006/main" count="163" uniqueCount="51">
  <si>
    <t>Female</t>
  </si>
  <si>
    <t>Male</t>
  </si>
  <si>
    <t>Candidate ID,Birthdate,Experience/Gender/Email</t>
  </si>
  <si>
    <t xml:space="preserve">   PUY-046,20636,18/Malee/bkearford0@qq.com        </t>
  </si>
  <si>
    <t xml:space="preserve">WDG-_x000C_852,30511,19/Female/mmaclaren1@creativecommons.org  </t>
  </si>
  <si>
    <t xml:space="preserve">  BMM-114,36838,20/Malee/agadaud2@omniture.com    </t>
  </si>
  <si>
    <t xml:space="preserve">             NYU-778,20427, 10/Female/dmccurt3@exblog.jp   </t>
  </si>
  <si>
    <t>VAZ-841,25487,22/FEMALE/ctrueman4@1und1.de</t>
  </si>
  <si>
    <t xml:space="preserve">          OFO-006,26150,14/Female/svise5@tinypic.com</t>
  </si>
  <si>
    <t xml:space="preserve">GHZ-_x000C_563,21247,23/male/mcaves6@earthlink.net     </t>
  </si>
  <si>
    <t xml:space="preserve">       KQB-103,19412,6/Male/bvolante7@addthis.com   </t>
  </si>
  <si>
    <t xml:space="preserve">    EYG-806,27839,5/MALE/jaiskrigg8@networksolutions.com</t>
  </si>
  <si>
    <t xml:space="preserve">AQR-9_x0003_32 ,19632,19/Male/agarlandb@tuttocitta.it     </t>
  </si>
  <si>
    <t>Mohandseen</t>
  </si>
  <si>
    <t>Nasr City</t>
  </si>
  <si>
    <t>Tagamoa</t>
  </si>
  <si>
    <t>Faisal</t>
  </si>
  <si>
    <t>6Th Of October</t>
  </si>
  <si>
    <t>Dokki</t>
  </si>
  <si>
    <t>Zayed</t>
  </si>
  <si>
    <t>Maadi</t>
  </si>
  <si>
    <t>City</t>
  </si>
  <si>
    <t>SALARY</t>
  </si>
  <si>
    <t>DATE OF HIRE</t>
  </si>
  <si>
    <t>sales</t>
  </si>
  <si>
    <t>Amal</t>
  </si>
  <si>
    <t>male</t>
  </si>
  <si>
    <t xml:space="preserve">Mhmoude </t>
  </si>
  <si>
    <t>Shahd</t>
  </si>
  <si>
    <t>Ali</t>
  </si>
  <si>
    <t>Ramy Adel</t>
  </si>
  <si>
    <t>6th Of October</t>
  </si>
  <si>
    <t>Mostafa</t>
  </si>
  <si>
    <t>[&gt;=1000000]0.##,,"M";[&gt;=1000]0.#,"K";0</t>
  </si>
  <si>
    <t>تحول الارقام الي (K)</t>
  </si>
  <si>
    <t>Dayed</t>
  </si>
  <si>
    <t>Ahmed</t>
  </si>
  <si>
    <t>Mona</t>
  </si>
  <si>
    <t>Alaa</t>
  </si>
  <si>
    <t>Maged</t>
  </si>
  <si>
    <t>Hana</t>
  </si>
  <si>
    <t>CITY</t>
  </si>
  <si>
    <t>Gander</t>
  </si>
  <si>
    <t>Name</t>
  </si>
  <si>
    <t xml:space="preserve">Ramy </t>
  </si>
  <si>
    <t>Sales</t>
  </si>
  <si>
    <t>Octobar</t>
  </si>
  <si>
    <t>Sales product 2</t>
  </si>
  <si>
    <t>sales product 1</t>
  </si>
  <si>
    <t xml:space="preserve"> October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</si>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</sst>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\-00\-0000"/>
    <numFmt numFmtId="165" formatCode="&quot;$&quot;#,##0.00"/>
    <numFmt numFmtId="166" formatCode="[&gt;=1000000]0.##,,&quot;M&quot;;[&gt;=1000]0.#,&quot;K&quot;;0"/>
    <numFmt numFmtId="167" formatCode="[$-409]mmmm\ d\,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61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0F0DB"/>
        <bgColor indexed="64"/>
      </patternFill>
    </fill>
    <fill>
      <patternFill patternType="solid">
        <fgColor rgb="FFE1D9B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1" xfId="1" applyFont="1" applyFill="1" applyBorder="1"/>
    <xf numFmtId="164" fontId="0" fillId="3" borderId="1" xfId="1" applyNumberFormat="1" applyFont="1" applyFill="1" applyBorder="1" applyAlignment="1">
      <alignment shrinkToFit="1"/>
    </xf>
    <xf numFmtId="0" fontId="1" fillId="4" borderId="4" xfId="1" applyFont="1" applyFill="1" applyBorder="1"/>
    <xf numFmtId="165" fontId="1" fillId="4" borderId="8" xfId="1" applyNumberFormat="1" applyFont="1" applyFill="1" applyBorder="1"/>
    <xf numFmtId="0" fontId="1" fillId="4" borderId="8" xfId="1" applyFont="1" applyFill="1" applyBorder="1"/>
    <xf numFmtId="0" fontId="0" fillId="4" borderId="5" xfId="1" applyFont="1" applyFill="1" applyBorder="1"/>
    <xf numFmtId="166" fontId="1" fillId="4" borderId="8" xfId="1" applyNumberFormat="1" applyFont="1" applyFill="1" applyBorder="1"/>
    <xf numFmtId="0" fontId="1" fillId="4" borderId="9" xfId="1" applyFont="1" applyFill="1" applyBorder="1"/>
    <xf numFmtId="0" fontId="0" fillId="4" borderId="1" xfId="1" applyFont="1" applyFill="1" applyBorder="1"/>
    <xf numFmtId="166" fontId="1" fillId="4" borderId="9" xfId="1" applyNumberFormat="1" applyFont="1" applyFill="1" applyBorder="1"/>
    <xf numFmtId="164" fontId="0" fillId="4" borderId="1" xfId="1" applyNumberFormat="1" applyFont="1" applyFill="1" applyBorder="1" applyAlignment="1">
      <alignment shrinkToFit="1"/>
    </xf>
    <xf numFmtId="0" fontId="1" fillId="4" borderId="7" xfId="1" applyFont="1" applyFill="1" applyBorder="1"/>
    <xf numFmtId="0" fontId="0" fillId="4" borderId="6" xfId="1" applyFont="1" applyFill="1" applyBorder="1"/>
    <xf numFmtId="166" fontId="1" fillId="4" borderId="7" xfId="1" applyNumberFormat="1" applyFont="1" applyFill="1" applyBorder="1"/>
    <xf numFmtId="166" fontId="1" fillId="4" borderId="2" xfId="1" applyNumberFormat="1" applyFont="1" applyFill="1" applyBorder="1"/>
    <xf numFmtId="0" fontId="1" fillId="3" borderId="1" xfId="1" applyFont="1" applyFill="1" applyBorder="1"/>
    <xf numFmtId="0" fontId="1" fillId="3" borderId="3" xfId="1" applyFont="1" applyFill="1" applyBorder="1"/>
    <xf numFmtId="165" fontId="1" fillId="3" borderId="1" xfId="1" applyNumberFormat="1" applyFont="1" applyFill="1" applyBorder="1"/>
    <xf numFmtId="166" fontId="1" fillId="3" borderId="1" xfId="1" applyNumberFormat="1" applyFont="1" applyFill="1" applyBorder="1"/>
    <xf numFmtId="166" fontId="1" fillId="3" borderId="2" xfId="1" applyNumberFormat="1" applyFont="1" applyFill="1" applyBorder="1"/>
    <xf numFmtId="0" fontId="0" fillId="3" borderId="1" xfId="0" applyFill="1" applyBorder="1"/>
    <xf numFmtId="167" fontId="0" fillId="3" borderId="1" xfId="1" applyNumberFormat="1" applyFont="1" applyFill="1" applyBorder="1"/>
    <xf numFmtId="0" fontId="1" fillId="3" borderId="1" xfId="0" applyFont="1" applyFill="1" applyBorder="1"/>
    <xf numFmtId="1" fontId="1" fillId="3" borderId="10" xfId="1" applyNumberFormat="1" applyFont="1" applyFill="1" applyBorder="1"/>
    <xf numFmtId="1" fontId="1" fillId="3" borderId="2" xfId="1" applyNumberFormat="1" applyFont="1" applyFill="1" applyBorder="1"/>
    <xf numFmtId="1" fontId="0" fillId="3" borderId="0" xfId="0" applyNumberFormat="1" applyFill="1"/>
    <xf numFmtId="167" fontId="1" fillId="3" borderId="1" xfId="1" applyNumberFormat="1" applyFont="1" applyFill="1" applyBorder="1" applyAlignment="1">
      <alignment horizontal="center" vertical="center"/>
    </xf>
    <xf numFmtId="165" fontId="1" fillId="3" borderId="2" xfId="1" applyNumberFormat="1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&gt;=1000000]0.##,,&quot;M&quot;;[&gt;=1000]0.#,&quot;K&quot;;0"/>
      <fill>
        <patternFill patternType="solid">
          <fgColor indexed="64"/>
          <bgColor rgb="FFE1D9BC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1D9B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1D9BC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rgb="FFE1D9BC"/>
        </patternFill>
      </fill>
    </dxf>
    <dxf>
      <border outline="0">
        <bottom style="thin">
          <color indexed="64"/>
        </bottom>
      </border>
    </dxf>
    <dxf>
      <font>
        <b/>
      </font>
      <fill>
        <patternFill patternType="solid">
          <fgColor indexed="64"/>
          <bgColor rgb="FFE1D9BC"/>
        </patternFill>
      </fill>
    </dxf>
  </dxfs>
  <tableStyles count="0" defaultTableStyle="TableStyleMedium2" defaultPivotStyle="PivotStyleLight16"/>
  <colors>
    <mruColors>
      <color rgb="FFF0F0DB"/>
      <color rgb="FFE1D9BC"/>
      <color rgb="FF30364F"/>
      <color rgb="FFACBAC4"/>
      <color rgb="FF3BC1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5.svg"/><Relationship Id="rId2" Type="http://schemas.microsoft.com/office/2011/relationships/chartColorStyle" Target="colors1.xml"/><Relationship Id="rId1" Type="http://schemas.microsoft.com/office/2011/relationships/chartStyle" Target="style1.xml"/><Relationship Id="rId6" Type="http://schemas.openxmlformats.org/officeDocument/2006/relationships/image" Target="../media/image4.png"/><Relationship Id="rId5" Type="http://schemas.openxmlformats.org/officeDocument/2006/relationships/image" Target="../media/image3.svg"/><Relationship Id="rId4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tx1"/>
                </a:solidFill>
              </a:rPr>
              <a:t>Total Salary</a:t>
            </a:r>
          </a:p>
          <a:p>
            <a:pPr>
              <a:defRPr b="1" i="1">
                <a:solidFill>
                  <a:schemeClr val="tx1"/>
                </a:solidFill>
              </a:defRPr>
            </a:pPr>
            <a:endParaRPr lang="en-US" b="1" i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267845617658451E-2"/>
          <c:y val="0.33685719141222453"/>
          <c:w val="0.91435678016883404"/>
          <c:h val="0.65134640019836809"/>
        </c:manualLayout>
      </c:layout>
      <c:barChart>
        <c:barDir val="col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solidFill>
                <a:srgbClr val="F0F0DB"/>
              </a:solidFill>
            </a:ln>
            <a:effectLst>
              <a:outerShdw blurRad="50800" dist="50800" dir="5400000" algn="ctr" rotWithShape="0">
                <a:srgbClr val="E1D9BC"/>
              </a:outerShdw>
            </a:effectLst>
          </c:spPr>
          <c:invertIfNegative val="0"/>
          <c:dPt>
            <c:idx val="0"/>
            <c:invertIfNegative val="0"/>
            <c:bubble3D val="0"/>
            <c:spPr>
              <a:blipFill dpi="0" rotWithShape="1">
                <a:blip xmlns:r="http://schemas.openxmlformats.org/officeDocument/2006/relationships" r:embed="rId4">
                  <a:alphaModFix amt="97000"/>
                  <a:extLst>
                    <a:ext uri="{96DAC541-7B7A-43D3-8B79-37D633B846F1}">
                      <asvg:svgBlip xmlns:asvg="http://schemas.microsoft.com/office/drawing/2016/SVG/main" r:embed="rId5"/>
                    </a:ext>
                  </a:extLst>
                </a:blip>
                <a:srcRect/>
                <a:stretch>
                  <a:fillRect l="-65000" r="-65000"/>
                </a:stretch>
              </a:blipFill>
              <a:ln>
                <a:solidFill>
                  <a:srgbClr val="F0F0DB"/>
                </a:solidFill>
              </a:ln>
              <a:effectLst>
                <a:outerShdw blurRad="50800" dist="50800" dir="5400000" algn="ctr" rotWithShape="0">
                  <a:srgbClr val="E1D9BC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2A-478B-9B5D-7FCDB987A80B}"/>
              </c:ext>
            </c:extLst>
          </c:dPt>
          <c:dPt>
            <c:idx val="1"/>
            <c:invertIfNegative val="0"/>
            <c:bubble3D val="0"/>
            <c:spPr>
              <a:blipFill dpi="0" rotWithShape="1">
                <a:blip xmlns:r="http://schemas.openxmlformats.org/officeDocument/2006/relationships" r:embed="rId6">
                  <a:extLst>
                    <a:ext uri="{96DAC541-7B7A-43D3-8B79-37D633B846F1}">
                      <asvg:svgBlip xmlns:asvg="http://schemas.microsoft.com/office/drawing/2016/SVG/main" r:embed="rId7"/>
                    </a:ext>
                  </a:extLst>
                </a:blip>
                <a:srcRect/>
                <a:stretch>
                  <a:fillRect l="-65000" t="-1000" r="-65000" b="14000"/>
                </a:stretch>
              </a:blipFill>
              <a:ln>
                <a:solidFill>
                  <a:srgbClr val="F0F0DB"/>
                </a:solidFill>
              </a:ln>
              <a:effectLst>
                <a:outerShdw blurRad="50800" dist="50800" dir="5400000" algn="ctr" rotWithShape="0">
                  <a:srgbClr val="E1D9BC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2A-478B-9B5D-7FCDB987A80B}"/>
              </c:ext>
            </c:extLst>
          </c:dPt>
          <c:dLbls>
            <c:dLbl>
              <c:idx val="1"/>
              <c:layout>
                <c:manualLayout>
                  <c:x val="-9.0870490942001433E-17"/>
                  <c:y val="-5.49450787163964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2A-478B-9B5D-7FCDB987A8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'DV(1)'!$A$31:$A$32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'DV(1)'!$B$31:$B$32</c:f>
              <c:numCache>
                <c:formatCode>[&gt;=1000000]0.##,,"M";[&gt;=1000]0.#,"K";0</c:formatCode>
                <c:ptCount val="2"/>
                <c:pt idx="0">
                  <c:v>74125</c:v>
                </c:pt>
                <c:pt idx="1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2A-478B-9B5D-7FCDB987A8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6124648"/>
        <c:axId val="796125368"/>
      </c:barChart>
      <c:catAx>
        <c:axId val="796124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6125368"/>
        <c:crosses val="autoZero"/>
        <c:auto val="1"/>
        <c:lblAlgn val="ctr"/>
        <c:lblOffset val="100"/>
        <c:noMultiLvlLbl val="0"/>
      </c:catAx>
      <c:valAx>
        <c:axId val="796125368"/>
        <c:scaling>
          <c:orientation val="minMax"/>
        </c:scaling>
        <c:delete val="1"/>
        <c:axPos val="l"/>
        <c:numFmt formatCode="[&gt;=1000000]0.##,,&quot;M&quot;;[&gt;=1000]0.#,&quot;K&quot;;0" sourceLinked="1"/>
        <c:majorTickMark val="none"/>
        <c:minorTickMark val="none"/>
        <c:tickLblPos val="nextTo"/>
        <c:crossAx val="7961246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0F0DB"/>
    </a:solidFill>
    <a:ln w="9525" cap="flat" cmpd="sng" algn="ctr">
      <a:solidFill>
        <a:srgbClr val="F0F0DB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none">
                <a:solidFill>
                  <a:schemeClr val="tx1"/>
                </a:solidFill>
              </a:rPr>
              <a:t>sales per location</a:t>
            </a:r>
          </a:p>
        </c:rich>
      </c:tx>
      <c:layout>
        <c:manualLayout>
          <c:xMode val="edge"/>
          <c:yMode val="edge"/>
          <c:x val="0.24962544694320157"/>
          <c:y val="3.51318508621178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1871953284535"/>
          <c:y val="0.15639639055765839"/>
          <c:w val="0.57109210405303112"/>
          <c:h val="0.76859191270982297"/>
        </c:manualLayout>
      </c:layout>
      <c:doughnutChart>
        <c:varyColors val="1"/>
        <c:ser>
          <c:idx val="0"/>
          <c:order val="0"/>
          <c:tx>
            <c:strRef>
              <c:f>'DV(1)'!$B$46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AC-4124-B648-219A57523C1C}"/>
              </c:ext>
            </c:extLst>
          </c:dPt>
          <c:dPt>
            <c:idx val="1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4AC-4124-B648-219A57523C1C}"/>
              </c:ext>
            </c:extLst>
          </c:dPt>
          <c:dPt>
            <c:idx val="2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4AC-4124-B648-219A57523C1C}"/>
              </c:ext>
            </c:extLst>
          </c:dPt>
          <c:dPt>
            <c:idx val="3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4AC-4124-B648-219A57523C1C}"/>
              </c:ext>
            </c:extLst>
          </c:dPt>
          <c:dLbls>
            <c:dLbl>
              <c:idx val="0"/>
              <c:layout>
                <c:manualLayout>
                  <c:x val="0.19766397124887677"/>
                  <c:y val="-8.22249093107618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AC-4124-B648-219A57523C1C}"/>
                </c:ext>
              </c:extLst>
            </c:dLbl>
            <c:dLbl>
              <c:idx val="1"/>
              <c:layout>
                <c:manualLayout>
                  <c:x val="0.24079065588499551"/>
                  <c:y val="4.83675937122128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AC-4124-B648-219A57523C1C}"/>
                </c:ext>
              </c:extLst>
            </c:dLbl>
            <c:dLbl>
              <c:idx val="2"/>
              <c:layout>
                <c:manualLayout>
                  <c:x val="-0.15094339622641509"/>
                  <c:y val="0.1451027811366382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AC-4124-B648-219A57523C1C}"/>
                </c:ext>
              </c:extLst>
            </c:dLbl>
            <c:dLbl>
              <c:idx val="3"/>
              <c:layout>
                <c:manualLayout>
                  <c:x val="-0.23288765877501136"/>
                  <c:y val="-8.971362677506271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4AC-4124-B648-219A57523C1C}"/>
                </c:ext>
              </c:extLst>
            </c:dLbl>
            <c:spPr>
              <a:noFill/>
              <a:ln>
                <a:solidFill>
                  <a:srgbClr val="F0F0DB"/>
                </a:solidFill>
              </a:ln>
              <a:effectLst>
                <a:outerShdw blurRad="50800" dist="50800" dir="5400000" algn="ctr" rotWithShape="0">
                  <a:srgbClr val="F0F0DB"/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'DV(1)'!$A$47:$A$50</c:f>
              <c:strCache>
                <c:ptCount val="4"/>
                <c:pt idx="0">
                  <c:v>Maadi</c:v>
                </c:pt>
                <c:pt idx="1">
                  <c:v>Zayed</c:v>
                </c:pt>
                <c:pt idx="2">
                  <c:v>Dokki</c:v>
                </c:pt>
                <c:pt idx="3">
                  <c:v>Octobar</c:v>
                </c:pt>
              </c:strCache>
            </c:strRef>
          </c:cat>
          <c:val>
            <c:numRef>
              <c:f>'DV(1)'!$B$47:$B$50</c:f>
              <c:numCache>
                <c:formatCode>[&gt;=1000000]0.##,,"M";[&gt;=1000]0.#,"K";0</c:formatCode>
                <c:ptCount val="4"/>
                <c:pt idx="0">
                  <c:v>34000</c:v>
                </c:pt>
                <c:pt idx="1">
                  <c:v>25000</c:v>
                </c:pt>
                <c:pt idx="2">
                  <c:v>24000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4AC-4124-B648-219A57523C1C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0F0DB"/>
    </a:solidFill>
    <a:ln w="9525" cap="flat" cmpd="sng" algn="ctr">
      <a:solidFill>
        <a:srgbClr val="F0F0DB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Who is the highest salary?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56019325018001"/>
          <c:y val="0.1954874651810585"/>
          <c:w val="0.77899983740970435"/>
          <c:h val="0.732089136490250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'DV(1)'!$C$1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rgbClr val="30364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'DV(1)'!$A$2:$A$10</c:f>
              <c:strCache>
                <c:ptCount val="8"/>
                <c:pt idx="0">
                  <c:v>Ali</c:v>
                </c:pt>
                <c:pt idx="1">
                  <c:v>Hana</c:v>
                </c:pt>
                <c:pt idx="2">
                  <c:v>Maged</c:v>
                </c:pt>
                <c:pt idx="3">
                  <c:v>Alaa</c:v>
                </c:pt>
                <c:pt idx="4">
                  <c:v>Mona</c:v>
                </c:pt>
                <c:pt idx="5">
                  <c:v>Ahmed</c:v>
                </c:pt>
                <c:pt idx="6">
                  <c:v>Mostafa</c:v>
                </c:pt>
                <c:pt idx="7">
                  <c:v>Ramy </c:v>
                </c:pt>
              </c:strCache>
            </c:strRef>
          </c:cat>
          <c:val>
            <c:numRef>
              <c:f>'DV(1)'!$C$2:$C$10</c:f>
              <c:numCache>
                <c:formatCode>[&gt;=1000000]0.##,,"M";[&gt;=1000]0.#,"K";0</c:formatCode>
                <c:ptCount val="9"/>
                <c:pt idx="0">
                  <c:v>10000</c:v>
                </c:pt>
                <c:pt idx="1">
                  <c:v>9000</c:v>
                </c:pt>
                <c:pt idx="2">
                  <c:v>12000</c:v>
                </c:pt>
                <c:pt idx="3">
                  <c:v>25000</c:v>
                </c:pt>
                <c:pt idx="4">
                  <c:v>10000</c:v>
                </c:pt>
                <c:pt idx="5">
                  <c:v>8000</c:v>
                </c:pt>
                <c:pt idx="6">
                  <c:v>20000</c:v>
                </c:pt>
                <c:pt idx="7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2-428D-B226-AFDC5E5D1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5126432"/>
        <c:axId val="652497120"/>
      </c:barChart>
      <c:catAx>
        <c:axId val="73512643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F0F0DB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497120"/>
        <c:crosses val="autoZero"/>
        <c:auto val="1"/>
        <c:lblAlgn val="ctr"/>
        <c:lblOffset val="100"/>
        <c:noMultiLvlLbl val="0"/>
      </c:catAx>
      <c:valAx>
        <c:axId val="6524971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]0.##,,&quot;M&quot;;[&gt;=1000]0.#,&quot;K&quot;;0" sourceLinked="1"/>
        <c:majorTickMark val="none"/>
        <c:minorTickMark val="none"/>
        <c:tickLblPos val="nextTo"/>
        <c:crossAx val="73512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F0F0DB"/>
      </a:solidFill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1" u="none" strike="noStrike" kern="1200" spc="0" baseline="0">
                <a:solidFill>
                  <a:schemeClr val="tx1"/>
                </a:solidFill>
              </a:rPr>
              <a:t>Sales distribution by location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40440944023692"/>
          <c:y val="0.13604408658716866"/>
          <c:w val="0.87538471055683564"/>
          <c:h val="0.588738493217054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'DV(1)'!$B$79</c:f>
              <c:strCache>
                <c:ptCount val="1"/>
                <c:pt idx="0">
                  <c:v>sales product 1</c:v>
                </c:pt>
              </c:strCache>
            </c:strRef>
          </c:tx>
          <c:spPr>
            <a:gradFill>
              <a:gsLst>
                <a:gs pos="0">
                  <a:schemeClr val="tx1">
                    <a:lumMod val="95000"/>
                    <a:lumOff val="5000"/>
                  </a:schemeClr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7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'DV(1)'!$A$80:$A$87</c:f>
              <c:strCache>
                <c:ptCount val="8"/>
                <c:pt idx="0">
                  <c:v>Maadi</c:v>
                </c:pt>
                <c:pt idx="1">
                  <c:v>Zayed</c:v>
                </c:pt>
                <c:pt idx="2">
                  <c:v>Dokki</c:v>
                </c:pt>
                <c:pt idx="3">
                  <c:v> October</c:v>
                </c:pt>
                <c:pt idx="4">
                  <c:v>Faisal</c:v>
                </c:pt>
                <c:pt idx="5">
                  <c:v>Tagamoa</c:v>
                </c:pt>
                <c:pt idx="6">
                  <c:v>Nasr City</c:v>
                </c:pt>
                <c:pt idx="7">
                  <c:v>Mohandseen</c:v>
                </c:pt>
              </c:strCache>
            </c:strRef>
          </c:cat>
          <c:val>
            <c:numRef>
              <c:f>'DV(1)'!$B$80:$B$87</c:f>
              <c:numCache>
                <c:formatCode>[&gt;=1000000]0.##,,"M";[&gt;=1000]0.#,"K";0</c:formatCode>
                <c:ptCount val="8"/>
                <c:pt idx="0">
                  <c:v>34000</c:v>
                </c:pt>
                <c:pt idx="1">
                  <c:v>25000</c:v>
                </c:pt>
                <c:pt idx="2">
                  <c:v>24000</c:v>
                </c:pt>
                <c:pt idx="3">
                  <c:v>20000</c:v>
                </c:pt>
                <c:pt idx="4">
                  <c:v>12125</c:v>
                </c:pt>
                <c:pt idx="5">
                  <c:v>7122</c:v>
                </c:pt>
                <c:pt idx="6">
                  <c:v>8743</c:v>
                </c:pt>
                <c:pt idx="7">
                  <c:v>87875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9-470D-AF59-35FE3D5BC8C0}"/>
            </c:ext>
          </c:extLst>
        </c:ser>
        <c:ser>
          <c:idx val="1"/>
          <c:order val="1"/>
          <c:tx>
            <c:strRef>
              <c:f>'DV(1)'!$C$79</c:f>
              <c:strCache>
                <c:ptCount val="1"/>
                <c:pt idx="0">
                  <c:v>Sales product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'DV(1)'!$A$80:$A$87</c:f>
              <c:strCache>
                <c:ptCount val="8"/>
                <c:pt idx="0">
                  <c:v>Maadi</c:v>
                </c:pt>
                <c:pt idx="1">
                  <c:v>Zayed</c:v>
                </c:pt>
                <c:pt idx="2">
                  <c:v>Dokki</c:v>
                </c:pt>
                <c:pt idx="3">
                  <c:v> October</c:v>
                </c:pt>
                <c:pt idx="4">
                  <c:v>Faisal</c:v>
                </c:pt>
                <c:pt idx="5">
                  <c:v>Tagamoa</c:v>
                </c:pt>
                <c:pt idx="6">
                  <c:v>Nasr City</c:v>
                </c:pt>
                <c:pt idx="7">
                  <c:v>Mohandseen</c:v>
                </c:pt>
              </c:strCache>
            </c:strRef>
          </c:cat>
          <c:val>
            <c:numRef>
              <c:f>'DV(1)'!$C$80:$C$87</c:f>
              <c:numCache>
                <c:formatCode>[&gt;=1000000]0.##,,"M";[&gt;=1000]0.#,"K";0</c:formatCode>
                <c:ptCount val="8"/>
                <c:pt idx="0">
                  <c:v>50000</c:v>
                </c:pt>
                <c:pt idx="1">
                  <c:v>20000</c:v>
                </c:pt>
                <c:pt idx="2">
                  <c:v>21000</c:v>
                </c:pt>
                <c:pt idx="3">
                  <c:v>40000</c:v>
                </c:pt>
                <c:pt idx="4">
                  <c:v>35000</c:v>
                </c:pt>
                <c:pt idx="5">
                  <c:v>44000</c:v>
                </c:pt>
                <c:pt idx="6">
                  <c:v>8700</c:v>
                </c:pt>
                <c:pt idx="7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49-470D-AF59-35FE3D5BC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-54"/>
        <c:axId val="557341056"/>
        <c:axId val="557343216"/>
      </c:barChart>
      <c:catAx>
        <c:axId val="55734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343216"/>
        <c:crosses val="autoZero"/>
        <c:auto val="1"/>
        <c:lblAlgn val="ctr"/>
        <c:lblOffset val="100"/>
        <c:noMultiLvlLbl val="0"/>
      </c:catAx>
      <c:valAx>
        <c:axId val="557343216"/>
        <c:scaling>
          <c:orientation val="minMax"/>
        </c:scaling>
        <c:delete val="1"/>
        <c:axPos val="l"/>
        <c:numFmt formatCode="[&gt;=1000000]0.##,,&quot;M&quot;;[&gt;=1000]0.#,&quot;K&quot;;0" sourceLinked="1"/>
        <c:majorTickMark val="none"/>
        <c:minorTickMark val="none"/>
        <c:tickLblPos val="nextTo"/>
        <c:crossAx val="55734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0F0DB"/>
    </a:solidFill>
    <a:ln w="9525" cap="flat" cmpd="sng" algn="ctr">
      <a:solidFill>
        <a:srgbClr val="F0F0DB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tx1"/>
                </a:solidFill>
              </a:rPr>
              <a:t>Sales</a:t>
            </a:r>
            <a:r>
              <a:rPr lang="en-US" b="1" i="1" baseline="0">
                <a:solidFill>
                  <a:schemeClr val="tx1"/>
                </a:solidFill>
              </a:rPr>
              <a:t> distribution by location</a:t>
            </a:r>
            <a:endParaRPr lang="en-US" b="1" i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55239736370725"/>
          <c:y val="3.7009352875437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'DV(1)'!$B$79</c:f>
              <c:strCache>
                <c:ptCount val="1"/>
                <c:pt idx="0">
                  <c:v>sales product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'DV(1)'!$A$80:$A$87</c:f>
              <c:strCache>
                <c:ptCount val="8"/>
                <c:pt idx="0">
                  <c:v>Maadi</c:v>
                </c:pt>
                <c:pt idx="1">
                  <c:v>Zayed</c:v>
                </c:pt>
                <c:pt idx="2">
                  <c:v>Dokki</c:v>
                </c:pt>
                <c:pt idx="3">
                  <c:v> October</c:v>
                </c:pt>
                <c:pt idx="4">
                  <c:v>Faisal</c:v>
                </c:pt>
                <c:pt idx="5">
                  <c:v>Tagamoa</c:v>
                </c:pt>
                <c:pt idx="6">
                  <c:v>Nasr City</c:v>
                </c:pt>
                <c:pt idx="7">
                  <c:v>Mohandseen</c:v>
                </c:pt>
              </c:strCache>
            </c:strRef>
          </c:cat>
          <c:val>
            <c:numRef>
              <c:f>'DV(1)'!$B$80:$B$87</c:f>
              <c:numCache>
                <c:formatCode>[&gt;=1000000]0.##,,"M";[&gt;=1000]0.#,"K";0</c:formatCode>
                <c:ptCount val="8"/>
                <c:pt idx="0">
                  <c:v>34000</c:v>
                </c:pt>
                <c:pt idx="1">
                  <c:v>25000</c:v>
                </c:pt>
                <c:pt idx="2">
                  <c:v>24000</c:v>
                </c:pt>
                <c:pt idx="3">
                  <c:v>20000</c:v>
                </c:pt>
                <c:pt idx="4">
                  <c:v>12125</c:v>
                </c:pt>
                <c:pt idx="5">
                  <c:v>7122</c:v>
                </c:pt>
                <c:pt idx="6">
                  <c:v>8743</c:v>
                </c:pt>
                <c:pt idx="7">
                  <c:v>87875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B-4321-BA4D-7358CAB54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698088"/>
        <c:axId val="776630240"/>
      </c:barChart>
      <c:lineChart>
        <c:grouping val="standard"/>
        <c:varyColors val="0"/>
        <c:ser>
          <c:idx val="1"/>
          <c:order val="1"/>
          <c:tx>
            <c:strRef>
              <c:f>'DV(1)'!$C$79</c:f>
              <c:strCache>
                <c:ptCount val="1"/>
                <c:pt idx="0">
                  <c:v>Sales product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'DV(1)'!$A$80:$A$87</c:f>
              <c:strCache>
                <c:ptCount val="8"/>
                <c:pt idx="0">
                  <c:v>Maadi</c:v>
                </c:pt>
                <c:pt idx="1">
                  <c:v>Zayed</c:v>
                </c:pt>
                <c:pt idx="2">
                  <c:v>Dokki</c:v>
                </c:pt>
                <c:pt idx="3">
                  <c:v> October</c:v>
                </c:pt>
                <c:pt idx="4">
                  <c:v>Faisal</c:v>
                </c:pt>
                <c:pt idx="5">
                  <c:v>Tagamoa</c:v>
                </c:pt>
                <c:pt idx="6">
                  <c:v>Nasr City</c:v>
                </c:pt>
                <c:pt idx="7">
                  <c:v>Mohandseen</c:v>
                </c:pt>
              </c:strCache>
            </c:strRef>
          </c:cat>
          <c:val>
            <c:numRef>
              <c:f>'DV(1)'!$C$80:$C$87</c:f>
              <c:numCache>
                <c:formatCode>[&gt;=1000000]0.##,,"M";[&gt;=1000]0.#,"K";0</c:formatCode>
                <c:ptCount val="8"/>
                <c:pt idx="0">
                  <c:v>50000</c:v>
                </c:pt>
                <c:pt idx="1">
                  <c:v>20000</c:v>
                </c:pt>
                <c:pt idx="2">
                  <c:v>21000</c:v>
                </c:pt>
                <c:pt idx="3">
                  <c:v>40000</c:v>
                </c:pt>
                <c:pt idx="4">
                  <c:v>35000</c:v>
                </c:pt>
                <c:pt idx="5">
                  <c:v>44000</c:v>
                </c:pt>
                <c:pt idx="6">
                  <c:v>8700</c:v>
                </c:pt>
                <c:pt idx="7">
                  <c:v>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EB-4321-BA4D-7358CAB54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1839944"/>
        <c:axId val="631837784"/>
      </c:lineChart>
      <c:catAx>
        <c:axId val="631839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37784"/>
        <c:crosses val="autoZero"/>
        <c:auto val="1"/>
        <c:lblAlgn val="ctr"/>
        <c:lblOffset val="100"/>
        <c:noMultiLvlLbl val="0"/>
      </c:catAx>
      <c:valAx>
        <c:axId val="631837784"/>
        <c:scaling>
          <c:logBase val="10"/>
          <c:orientation val="minMax"/>
        </c:scaling>
        <c:delete val="0"/>
        <c:axPos val="l"/>
        <c:numFmt formatCode="[&gt;=1000000]0.##,,&quot;M&quot;;[&gt;=1000]0.#,&quot;K&quot;;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39944"/>
        <c:crosses val="autoZero"/>
        <c:crossBetween val="between"/>
      </c:valAx>
      <c:valAx>
        <c:axId val="776630240"/>
        <c:scaling>
          <c:orientation val="minMax"/>
        </c:scaling>
        <c:delete val="0"/>
        <c:axPos val="r"/>
        <c:numFmt formatCode="[&gt;=1000000]0.##,,&quot;M&quot;;[&gt;=1000]0.#,&quot;K&quot;;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698088"/>
        <c:crosses val="max"/>
        <c:crossBetween val="between"/>
      </c:valAx>
      <c:catAx>
        <c:axId val="630698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6630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0F0DB"/>
    </a:solidFill>
    <a:ln w="9525" cap="flat" cmpd="sng" algn="ctr">
      <a:solidFill>
        <a:srgbClr val="F0F0DB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tx1"/>
                </a:solidFill>
              </a:rPr>
              <a:t>Time</a:t>
            </a:r>
            <a:r>
              <a:rPr lang="en-US" b="1" i="1" baseline="0">
                <a:solidFill>
                  <a:schemeClr val="tx1"/>
                </a:solidFill>
              </a:rPr>
              <a:t> series</a:t>
            </a:r>
          </a:p>
          <a:p>
            <a:pPr>
              <a:defRPr/>
            </a:pPr>
            <a:endParaRPr lang="en-US" b="1" i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646998732215945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'DV(1)'!$B$92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'DV(1)'!$A$93:$A$100</c:f>
              <c:numCache>
                <c:formatCode>[$-409]mmmm\ d\,\ yyyy;@</c:formatCode>
                <c:ptCount val="8"/>
                <c:pt idx="0">
                  <c:v>45834</c:v>
                </c:pt>
                <c:pt idx="1">
                  <c:v>45677</c:v>
                </c:pt>
                <c:pt idx="2">
                  <c:v>44849</c:v>
                </c:pt>
                <c:pt idx="3">
                  <c:v>44776</c:v>
                </c:pt>
                <c:pt idx="4">
                  <c:v>44467</c:v>
                </c:pt>
                <c:pt idx="5">
                  <c:v>44428</c:v>
                </c:pt>
                <c:pt idx="6">
                  <c:v>44407</c:v>
                </c:pt>
                <c:pt idx="7">
                  <c:v>43926</c:v>
                </c:pt>
              </c:numCache>
            </c:numRef>
          </c:cat>
          <c:val>
            <c:numRef>
              <c:f>'DV(1)'!$B$93:$B$100</c:f>
              <c:numCache>
                <c:formatCode>0</c:formatCode>
                <c:ptCount val="8"/>
                <c:pt idx="0">
                  <c:v>10000</c:v>
                </c:pt>
                <c:pt idx="1">
                  <c:v>9000</c:v>
                </c:pt>
                <c:pt idx="2">
                  <c:v>12000</c:v>
                </c:pt>
                <c:pt idx="3">
                  <c:v>25000</c:v>
                </c:pt>
                <c:pt idx="4">
                  <c:v>10000</c:v>
                </c:pt>
                <c:pt idx="5">
                  <c:v>8000</c:v>
                </c:pt>
                <c:pt idx="6">
                  <c:v>20000</c:v>
                </c:pt>
                <c:pt idx="7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C-4CC3-BD3A-E064F4FF6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423200"/>
        <c:axId val="723422840"/>
      </c:lineChart>
      <c:dateAx>
        <c:axId val="723423200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422840"/>
        <c:crosses val="autoZero"/>
        <c:auto val="0"/>
        <c:lblOffset val="100"/>
        <c:baseTimeUnit val="days"/>
        <c:majorUnit val="1"/>
        <c:majorTimeUnit val="years"/>
        <c:minorUnit val="1"/>
        <c:minorTimeUnit val="months"/>
      </c:dateAx>
      <c:valAx>
        <c:axId val="72342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42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0F0DB"/>
    </a:solidFill>
    <a:ln w="9525" cap="flat" cmpd="sng" algn="ctr">
      <a:solidFill>
        <a:srgbClr val="F0F0DB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Sales per City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 i="1">
              <a:solidFill>
                <a:schemeClr val="tx1"/>
              </a:solidFill>
            </a:defRPr>
          </a:pPr>
          <a:r>
            <a:rPr lang="en-US" sz="1400" b="1" i="1" u="none" strike="noStrike" baseline="0">
              <a:solidFill>
                <a:schemeClr val="tx1"/>
              </a:solidFill>
              <a:latin typeface="Calibri"/>
            </a:rPr>
            <a:t>Sales per City</a:t>
          </a:r>
        </a:p>
      </cx:txPr>
    </cx:title>
    <cx:plotArea>
      <cx:plotAreaRegion>
        <cx:series layoutId="treemap" uniqueId="{A4A17965-47FF-47F0-8688-B86369BF6C85}">
          <cx:tx>
            <cx:txData>
              <cx:f>_xlchart.v1.1</cx:f>
              <cx:v>sales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" lastClr="FFFFFF"/>
                  </a:solidFill>
                  <a:latin typeface="Calibri"/>
                </a:endParaRPr>
              </a:p>
            </cx:txPr>
            <cx:visibility seriesName="0" categoryName="1" value="1"/>
            <cx:separator>, </cx:separator>
            <cx:dataLabel idx="0">
              <cx:numFmt formatCode="[&gt;=1000000]0.##,,&quot;M&quot;;[&gt;=1000]0.#,&quot;K&quot;;0" sourceLinked="0"/>
              <cx:visibility seriesName="0" categoryName="1" value="1"/>
              <cx:separator>, </cx:separator>
            </cx:dataLabel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rgbClr val="F0F0DB"/>
    </a:solidFill>
    <a:ln>
      <a:solidFill>
        <a:srgbClr val="F0F0DB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title>
    <cx:plotArea>
      <cx:plotAreaRegion>
        <cx:series layoutId="clusteredColumn" uniqueId="{37FAB300-9BEB-45BA-8AB2-4EF09DD4F719}">
          <cx:tx>
            <cx:txData>
              <cx:f>_xlchart.v1.4</cx:f>
              <cx:v>Sales</cx:v>
            </cx:txData>
          </cx:tx>
          <cx:dataId val="0"/>
          <cx:layoutPr>
            <cx:binning intervalClosed="r">
              <cx:binCount val="4"/>
            </cx:binning>
          </cx:layoutPr>
        </cx:series>
      </cx:plotAreaRegion>
      <cx:axis id="0">
        <cx:catScaling gapWidth="0.0500000007"/>
        <cx:tickLabels/>
      </cx:axis>
      <cx:axis id="1">
        <cx:valScaling/>
        <cx:majorGridlines/>
        <cx:tickLabels/>
      </cx:axis>
    </cx:plotArea>
  </cx:chart>
  <cx:spPr>
    <a:solidFill>
      <a:srgbClr val="F0F0DB"/>
    </a:solidFill>
    <a:ln>
      <a:solidFill>
        <a:srgbClr val="F0F0DB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552450</xdr:colOff>
      <xdr:row>0</xdr:row>
      <xdr:rowOff>57150</xdr:rowOff>
    </xdr:from>
    <xdr:to>
      <xdr:col>18</xdr:col>
      <xdr:colOff>241300</xdr:colOff>
      <xdr:row>13</xdr:row>
      <xdr:rowOff>88900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E433C97-4F53-466B-98CD-BD72EE9D094B}"/>
            </a:ext>
          </a:extLst>
        </xdr:cNvPr>
        <xdr:cNvSpPr/>
      </xdr:nvSpPr>
      <xdr:spPr>
        <a:xfrm>
          <a:off x="9086850" y="57150"/>
          <a:ext cx="2127250" cy="2425700"/>
        </a:xfrm>
        <a:prstGeom prst="roundRect">
          <a:avLst>
            <a:gd name="adj" fmla="val 12009"/>
          </a:avLst>
        </a:prstGeom>
        <a:solidFill>
          <a:srgbClr val="F0F0D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95250</xdr:colOff>
      <xdr:row>0</xdr:row>
      <xdr:rowOff>152400</xdr:rowOff>
    </xdr:from>
    <xdr:to>
      <xdr:col>18</xdr:col>
      <xdr:colOff>25400</xdr:colOff>
      <xdr:row>13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3ACB31-207D-4222-B026-24B887EEC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387350</xdr:colOff>
      <xdr:row>0</xdr:row>
      <xdr:rowOff>88900</xdr:rowOff>
    </xdr:from>
    <xdr:to>
      <xdr:col>23</xdr:col>
      <xdr:colOff>590176</xdr:colOff>
      <xdr:row>13</xdr:row>
      <xdr:rowOff>69850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44BD354-66FD-8EF5-C625-ED72C7C2C30B}"/>
            </a:ext>
          </a:extLst>
        </xdr:cNvPr>
        <xdr:cNvSpPr/>
      </xdr:nvSpPr>
      <xdr:spPr>
        <a:xfrm>
          <a:off x="13072409" y="88900"/>
          <a:ext cx="3265767" cy="2408891"/>
        </a:xfrm>
        <a:prstGeom prst="roundRect">
          <a:avLst/>
        </a:prstGeom>
        <a:solidFill>
          <a:srgbClr val="F0F0D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520700</xdr:colOff>
      <xdr:row>1</xdr:row>
      <xdr:rowOff>19050</xdr:rowOff>
    </xdr:from>
    <xdr:to>
      <xdr:col>23</xdr:col>
      <xdr:colOff>351118</xdr:colOff>
      <xdr:row>12</xdr:row>
      <xdr:rowOff>97118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105D3737-2A10-4453-8D08-089B1C88EC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38100</xdr:colOff>
      <xdr:row>0</xdr:row>
      <xdr:rowOff>50800</xdr:rowOff>
    </xdr:from>
    <xdr:to>
      <xdr:col>14</xdr:col>
      <xdr:colOff>419100</xdr:colOff>
      <xdr:row>14</xdr:row>
      <xdr:rowOff>31750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032844E-5BC2-6EC2-03C5-6D08F7869306}"/>
            </a:ext>
          </a:extLst>
        </xdr:cNvPr>
        <xdr:cNvSpPr/>
      </xdr:nvSpPr>
      <xdr:spPr>
        <a:xfrm>
          <a:off x="5524500" y="50800"/>
          <a:ext cx="3429000" cy="2559050"/>
        </a:xfrm>
        <a:prstGeom prst="roundRect">
          <a:avLst/>
        </a:prstGeom>
        <a:solidFill>
          <a:srgbClr val="F0F0D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292099</xdr:colOff>
      <xdr:row>1</xdr:row>
      <xdr:rowOff>31750</xdr:rowOff>
    </xdr:from>
    <xdr:to>
      <xdr:col>14</xdr:col>
      <xdr:colOff>222250</xdr:colOff>
      <xdr:row>13</xdr:row>
      <xdr:rowOff>44450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333C54C-9DF0-4181-8017-9D24DB69B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43051</xdr:colOff>
      <xdr:row>15</xdr:row>
      <xdr:rowOff>6350</xdr:rowOff>
    </xdr:from>
    <xdr:to>
      <xdr:col>17</xdr:col>
      <xdr:colOff>185644</xdr:colOff>
      <xdr:row>31</xdr:row>
      <xdr:rowOff>38100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E3A2F25-4537-806D-481C-EDA97F5DA967}"/>
            </a:ext>
          </a:extLst>
        </xdr:cNvPr>
        <xdr:cNvSpPr/>
      </xdr:nvSpPr>
      <xdr:spPr>
        <a:xfrm>
          <a:off x="7221780" y="2750842"/>
          <a:ext cx="5050389" cy="2959207"/>
        </a:xfrm>
        <a:prstGeom prst="roundRect">
          <a:avLst/>
        </a:prstGeom>
        <a:solidFill>
          <a:srgbClr val="F0F0D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265546</xdr:colOff>
      <xdr:row>16</xdr:row>
      <xdr:rowOff>161637</xdr:rowOff>
    </xdr:from>
    <xdr:to>
      <xdr:col>17</xdr:col>
      <xdr:colOff>75452</xdr:colOff>
      <xdr:row>29</xdr:row>
      <xdr:rowOff>108324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6FAA53A5-8B99-4E1E-958A-FC8220D9D3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15646" y="3108037"/>
              <a:ext cx="4686706" cy="23406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299509</xdr:colOff>
      <xdr:row>14</xdr:row>
      <xdr:rowOff>163524</xdr:rowOff>
    </xdr:from>
    <xdr:to>
      <xdr:col>23</xdr:col>
      <xdr:colOff>596734</xdr:colOff>
      <xdr:row>31</xdr:row>
      <xdr:rowOff>57728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66A09574-A95B-65A1-5FFB-4EEB691A0061}"/>
            </a:ext>
          </a:extLst>
        </xdr:cNvPr>
        <xdr:cNvSpPr/>
      </xdr:nvSpPr>
      <xdr:spPr>
        <a:xfrm>
          <a:off x="13025166" y="2767665"/>
          <a:ext cx="3953285" cy="3056376"/>
        </a:xfrm>
        <a:prstGeom prst="roundRect">
          <a:avLst>
            <a:gd name="adj" fmla="val 17898"/>
          </a:avLst>
        </a:prstGeom>
        <a:solidFill>
          <a:srgbClr val="F0F0D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527374</xdr:colOff>
      <xdr:row>16</xdr:row>
      <xdr:rowOff>10763</xdr:rowOff>
    </xdr:from>
    <xdr:to>
      <xdr:col>23</xdr:col>
      <xdr:colOff>344408</xdr:colOff>
      <xdr:row>30</xdr:row>
      <xdr:rowOff>104338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E640B2C-BDED-4B27-8391-6BC5DF38C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96212</xdr:colOff>
      <xdr:row>33</xdr:row>
      <xdr:rowOff>19243</xdr:rowOff>
    </xdr:from>
    <xdr:to>
      <xdr:col>17</xdr:col>
      <xdr:colOff>250151</xdr:colOff>
      <xdr:row>49</xdr:row>
      <xdr:rowOff>109041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7AE4144A-5747-73D0-F432-F38672EA6D5C}"/>
            </a:ext>
          </a:extLst>
        </xdr:cNvPr>
        <xdr:cNvSpPr/>
      </xdr:nvSpPr>
      <xdr:spPr>
        <a:xfrm>
          <a:off x="7947121" y="6157576"/>
          <a:ext cx="5028687" cy="3065960"/>
        </a:xfrm>
        <a:prstGeom prst="roundRect">
          <a:avLst/>
        </a:prstGeom>
        <a:solidFill>
          <a:srgbClr val="F0F0D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391262</xdr:colOff>
      <xdr:row>34</xdr:row>
      <xdr:rowOff>57726</xdr:rowOff>
    </xdr:from>
    <xdr:to>
      <xdr:col>17</xdr:col>
      <xdr:colOff>12828</xdr:colOff>
      <xdr:row>49</xdr:row>
      <xdr:rowOff>12826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B0DA1D1-2EF4-4FE5-B969-6F2818BFE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352778</xdr:colOff>
      <xdr:row>32</xdr:row>
      <xdr:rowOff>166769</xdr:rowOff>
    </xdr:from>
    <xdr:to>
      <xdr:col>24</xdr:col>
      <xdr:colOff>64141</xdr:colOff>
      <xdr:row>49</xdr:row>
      <xdr:rowOff>153941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A36EFA3-DC59-285A-FF74-2F812E88F986}"/>
            </a:ext>
          </a:extLst>
        </xdr:cNvPr>
        <xdr:cNvSpPr/>
      </xdr:nvSpPr>
      <xdr:spPr>
        <a:xfrm>
          <a:off x="13078435" y="6119092"/>
          <a:ext cx="3976767" cy="3149344"/>
        </a:xfrm>
        <a:prstGeom prst="roundRect">
          <a:avLst/>
        </a:prstGeom>
        <a:solidFill>
          <a:srgbClr val="F0F0D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455405</xdr:colOff>
      <xdr:row>34</xdr:row>
      <xdr:rowOff>64142</xdr:rowOff>
    </xdr:from>
    <xdr:to>
      <xdr:col>23</xdr:col>
      <xdr:colOff>519547</xdr:colOff>
      <xdr:row>47</xdr:row>
      <xdr:rowOff>145472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1BB6E40-CE7B-40B3-855F-0062D1DFA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256566</xdr:colOff>
      <xdr:row>50</xdr:row>
      <xdr:rowOff>64141</xdr:rowOff>
    </xdr:from>
    <xdr:to>
      <xdr:col>17</xdr:col>
      <xdr:colOff>282222</xdr:colOff>
      <xdr:row>65</xdr:row>
      <xdr:rowOff>147525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950F1C42-6836-1A8E-BFFB-918D704DE5B7}"/>
            </a:ext>
          </a:extLst>
        </xdr:cNvPr>
        <xdr:cNvSpPr/>
      </xdr:nvSpPr>
      <xdr:spPr>
        <a:xfrm>
          <a:off x="8107475" y="9364646"/>
          <a:ext cx="4900404" cy="2873536"/>
        </a:xfrm>
        <a:prstGeom prst="roundRect">
          <a:avLst/>
        </a:prstGeom>
        <a:solidFill>
          <a:srgbClr val="F0F0D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404091</xdr:colOff>
      <xdr:row>51</xdr:row>
      <xdr:rowOff>44899</xdr:rowOff>
    </xdr:from>
    <xdr:to>
      <xdr:col>17</xdr:col>
      <xdr:colOff>121868</xdr:colOff>
      <xdr:row>64</xdr:row>
      <xdr:rowOff>6414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ED63DC1D-43D1-40CD-B0C7-781AD2FC54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5000" y="9531414"/>
              <a:ext cx="4592525" cy="23796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7D2CB3-832E-477E-AE5A-44D3B63D8E22}" name="Table1" displayName="Table1" ref="A1:C9" totalsRowShown="0" headerRowDxfId="7" dataDxfId="5" headerRowBorderDxfId="6" tableBorderDxfId="4" totalsRowBorderDxfId="3">
  <autoFilter ref="A1:C9" xr:uid="{CA7D2CB3-832E-477E-AE5A-44D3B63D8E22}"/>
  <tableColumns count="3">
    <tableColumn id="1" xr3:uid="{B4DD0142-61CD-4D59-B855-803C87BCAD2C}" name="Name" dataDxfId="2" dataCellStyle="Good"/>
    <tableColumn id="2" xr3:uid="{BF611F2A-CE68-4260-9B6F-D1278DE8AA88}" name="CITY" dataDxfId="1" dataCellStyle="Good"/>
    <tableColumn id="3" xr3:uid="{A74A97F6-9524-4E58-B174-87A04DC38384}" name="SALARY" dataDxfId="0" dataCellStyle="Go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A50B-37B0-4B52-8F75-4D0423D97898}">
  <dimension ref="A1:A11"/>
  <sheetViews>
    <sheetView workbookViewId="0">
      <selection activeCell="D12" sqref="D12"/>
    </sheetView>
  </sheetViews>
  <sheetFormatPr defaultRowHeight="14.5" x14ac:dyDescent="0.35"/>
  <sheetData>
    <row r="1" spans="1:1" x14ac:dyDescent="0.35">
      <c r="A1" s="1" t="s">
        <v>2</v>
      </c>
    </row>
    <row r="2" spans="1:1" x14ac:dyDescent="0.35">
      <c r="A2" t="s">
        <v>3</v>
      </c>
    </row>
    <row r="3" spans="1:1" x14ac:dyDescent="0.35">
      <c r="A3" t="s">
        <v>4</v>
      </c>
    </row>
    <row r="4" spans="1:1" x14ac:dyDescent="0.35">
      <c r="A4" t="s">
        <v>5</v>
      </c>
    </row>
    <row r="5" spans="1:1" x14ac:dyDescent="0.35">
      <c r="A5" t="s">
        <v>6</v>
      </c>
    </row>
    <row r="6" spans="1:1" x14ac:dyDescent="0.35">
      <c r="A6" t="s">
        <v>7</v>
      </c>
    </row>
    <row r="7" spans="1:1" x14ac:dyDescent="0.35">
      <c r="A7" t="s">
        <v>8</v>
      </c>
    </row>
    <row r="8" spans="1:1" x14ac:dyDescent="0.35">
      <c r="A8" t="s">
        <v>9</v>
      </c>
    </row>
    <row r="9" spans="1:1" x14ac:dyDescent="0.35">
      <c r="A9" t="s">
        <v>10</v>
      </c>
    </row>
    <row r="10" spans="1:1" x14ac:dyDescent="0.35">
      <c r="A10" t="s">
        <v>11</v>
      </c>
    </row>
    <row r="11" spans="1:1" ht="101.5" x14ac:dyDescent="0.35">
      <c r="A1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8C9E-7C2A-4F28-907D-8E64C662265D}">
  <dimension ref="A1:Z101"/>
  <sheetViews>
    <sheetView topLeftCell="D46" zoomScale="70" zoomScaleNormal="70" workbookViewId="0">
      <selection activeCell="AC67" sqref="AC67"/>
    </sheetView>
  </sheetViews>
  <sheetFormatPr defaultRowHeight="14.5" x14ac:dyDescent="0.35"/>
  <cols>
    <col min="1" max="1" width="17.81640625" style="3" bestFit="1" customWidth="1"/>
    <col min="2" max="2" width="13.6328125" style="3" bestFit="1" customWidth="1"/>
    <col min="3" max="3" width="13.81640625" style="3" bestFit="1" customWidth="1"/>
    <col min="4" max="4" width="13.36328125" style="3" bestFit="1" customWidth="1"/>
    <col min="5" max="5" width="13.54296875" style="3" bestFit="1" customWidth="1"/>
    <col min="6" max="6" width="14" style="3" bestFit="1" customWidth="1"/>
    <col min="7" max="16384" width="8.7265625" style="3"/>
  </cols>
  <sheetData>
    <row r="1" spans="1:3" x14ac:dyDescent="0.35">
      <c r="A1" s="6" t="s">
        <v>43</v>
      </c>
      <c r="B1" s="6" t="s">
        <v>41</v>
      </c>
      <c r="C1" s="7" t="s">
        <v>22</v>
      </c>
    </row>
    <row r="2" spans="1:3" x14ac:dyDescent="0.35">
      <c r="A2" s="8" t="s">
        <v>29</v>
      </c>
      <c r="B2" s="9" t="s">
        <v>20</v>
      </c>
      <c r="C2" s="10">
        <v>10000</v>
      </c>
    </row>
    <row r="3" spans="1:3" x14ac:dyDescent="0.35">
      <c r="A3" s="11" t="s">
        <v>40</v>
      </c>
      <c r="B3" s="12" t="s">
        <v>20</v>
      </c>
      <c r="C3" s="13">
        <v>9000</v>
      </c>
    </row>
    <row r="4" spans="1:3" x14ac:dyDescent="0.35">
      <c r="A4" s="11" t="s">
        <v>39</v>
      </c>
      <c r="B4" s="12" t="s">
        <v>20</v>
      </c>
      <c r="C4" s="13">
        <v>12000</v>
      </c>
    </row>
    <row r="5" spans="1:3" x14ac:dyDescent="0.35">
      <c r="A5" s="11" t="s">
        <v>38</v>
      </c>
      <c r="B5" s="12" t="s">
        <v>19</v>
      </c>
      <c r="C5" s="13">
        <v>25000</v>
      </c>
    </row>
    <row r="6" spans="1:3" x14ac:dyDescent="0.35">
      <c r="A6" s="11" t="s">
        <v>37</v>
      </c>
      <c r="B6" s="12" t="s">
        <v>18</v>
      </c>
      <c r="C6" s="13">
        <v>10000</v>
      </c>
    </row>
    <row r="7" spans="1:3" x14ac:dyDescent="0.35">
      <c r="A7" s="11" t="s">
        <v>36</v>
      </c>
      <c r="B7" s="12" t="s">
        <v>35</v>
      </c>
      <c r="C7" s="13">
        <v>8000</v>
      </c>
    </row>
    <row r="8" spans="1:3" x14ac:dyDescent="0.35">
      <c r="A8" s="11" t="s">
        <v>32</v>
      </c>
      <c r="B8" s="14" t="s">
        <v>31</v>
      </c>
      <c r="C8" s="13">
        <v>20000</v>
      </c>
    </row>
    <row r="9" spans="1:3" x14ac:dyDescent="0.35">
      <c r="A9" s="15" t="s">
        <v>44</v>
      </c>
      <c r="B9" s="16" t="s">
        <v>18</v>
      </c>
      <c r="C9" s="17">
        <v>20000</v>
      </c>
    </row>
    <row r="19" spans="1:4" x14ac:dyDescent="0.35">
      <c r="A19" s="19" t="s">
        <v>43</v>
      </c>
      <c r="B19" s="19" t="s">
        <v>42</v>
      </c>
      <c r="C19" s="21" t="s">
        <v>41</v>
      </c>
      <c r="D19" s="19" t="s">
        <v>22</v>
      </c>
    </row>
    <row r="20" spans="1:4" x14ac:dyDescent="0.35">
      <c r="A20" s="19" t="s">
        <v>29</v>
      </c>
      <c r="B20" s="4" t="s">
        <v>1</v>
      </c>
      <c r="C20" s="22" t="s">
        <v>20</v>
      </c>
      <c r="D20" s="18">
        <v>10000</v>
      </c>
    </row>
    <row r="21" spans="1:4" x14ac:dyDescent="0.35">
      <c r="A21" s="19" t="s">
        <v>40</v>
      </c>
      <c r="B21" s="4" t="s">
        <v>0</v>
      </c>
      <c r="C21" s="22" t="s">
        <v>20</v>
      </c>
      <c r="D21" s="18">
        <v>12000</v>
      </c>
    </row>
    <row r="22" spans="1:4" x14ac:dyDescent="0.35">
      <c r="A22" s="19" t="s">
        <v>39</v>
      </c>
      <c r="B22" s="4" t="s">
        <v>1</v>
      </c>
      <c r="C22" s="22" t="s">
        <v>20</v>
      </c>
      <c r="D22" s="18">
        <v>12000</v>
      </c>
    </row>
    <row r="23" spans="1:4" x14ac:dyDescent="0.35">
      <c r="A23" s="19" t="s">
        <v>38</v>
      </c>
      <c r="B23" s="4" t="s">
        <v>0</v>
      </c>
      <c r="C23" s="22" t="s">
        <v>19</v>
      </c>
      <c r="D23" s="18">
        <v>25000</v>
      </c>
    </row>
    <row r="24" spans="1:4" x14ac:dyDescent="0.35">
      <c r="A24" s="19" t="s">
        <v>37</v>
      </c>
      <c r="B24" s="4" t="s">
        <v>0</v>
      </c>
      <c r="C24" s="22" t="s">
        <v>18</v>
      </c>
      <c r="D24" s="18">
        <v>12000</v>
      </c>
    </row>
    <row r="25" spans="1:4" x14ac:dyDescent="0.35">
      <c r="A25" s="19" t="s">
        <v>36</v>
      </c>
      <c r="B25" s="4" t="s">
        <v>1</v>
      </c>
      <c r="C25" s="22" t="s">
        <v>35</v>
      </c>
      <c r="D25" s="18">
        <v>8000</v>
      </c>
    </row>
    <row r="26" spans="1:4" x14ac:dyDescent="0.35">
      <c r="A26" s="19" t="s">
        <v>32</v>
      </c>
      <c r="B26" s="5" t="s">
        <v>1</v>
      </c>
      <c r="C26" s="22" t="s">
        <v>31</v>
      </c>
      <c r="D26" s="18">
        <v>20000</v>
      </c>
    </row>
    <row r="27" spans="1:4" x14ac:dyDescent="0.35">
      <c r="A27" s="19" t="s">
        <v>30</v>
      </c>
      <c r="B27" s="4" t="s">
        <v>1</v>
      </c>
      <c r="C27" s="22" t="s">
        <v>18</v>
      </c>
      <c r="D27" s="18">
        <v>12000</v>
      </c>
    </row>
    <row r="28" spans="1:4" x14ac:dyDescent="0.35">
      <c r="A28" s="19" t="s">
        <v>29</v>
      </c>
      <c r="B28" s="19" t="s">
        <v>1</v>
      </c>
      <c r="C28" s="21" t="s">
        <v>16</v>
      </c>
      <c r="D28" s="18">
        <v>12125</v>
      </c>
    </row>
    <row r="31" spans="1:4" x14ac:dyDescent="0.35">
      <c r="A31" s="20" t="s">
        <v>1</v>
      </c>
      <c r="B31" s="18">
        <f>SUMIF(B20:B28,"Male",D20:D28)</f>
        <v>74125</v>
      </c>
    </row>
    <row r="32" spans="1:4" x14ac:dyDescent="0.35">
      <c r="A32" s="20" t="s">
        <v>0</v>
      </c>
      <c r="B32" s="18">
        <f>SUMIF(B20:B28,"feMale",D20:D28)</f>
        <v>49000</v>
      </c>
    </row>
    <row r="36" spans="1:26" x14ac:dyDescent="0.35">
      <c r="A36" s="19" t="s">
        <v>43</v>
      </c>
      <c r="B36" s="19" t="s">
        <v>42</v>
      </c>
      <c r="C36" s="21" t="s">
        <v>21</v>
      </c>
      <c r="D36" s="19" t="s">
        <v>45</v>
      </c>
    </row>
    <row r="37" spans="1:26" x14ac:dyDescent="0.35">
      <c r="A37" s="19" t="s">
        <v>29</v>
      </c>
      <c r="B37" s="4" t="s">
        <v>1</v>
      </c>
      <c r="C37" s="22" t="s">
        <v>20</v>
      </c>
      <c r="D37" s="23">
        <v>10000</v>
      </c>
      <c r="Z37" s="3" t="s">
        <v>50</v>
      </c>
    </row>
    <row r="38" spans="1:26" x14ac:dyDescent="0.35">
      <c r="A38" s="19" t="s">
        <v>40</v>
      </c>
      <c r="B38" s="4" t="s">
        <v>0</v>
      </c>
      <c r="C38" s="22" t="s">
        <v>20</v>
      </c>
      <c r="D38" s="23">
        <v>12000</v>
      </c>
    </row>
    <row r="39" spans="1:26" x14ac:dyDescent="0.35">
      <c r="A39" s="19" t="s">
        <v>39</v>
      </c>
      <c r="B39" s="4" t="s">
        <v>1</v>
      </c>
      <c r="C39" s="22" t="s">
        <v>20</v>
      </c>
      <c r="D39" s="23">
        <v>12000</v>
      </c>
    </row>
    <row r="40" spans="1:26" x14ac:dyDescent="0.35">
      <c r="A40" s="19" t="s">
        <v>38</v>
      </c>
      <c r="B40" s="4" t="s">
        <v>0</v>
      </c>
      <c r="C40" s="22" t="s">
        <v>19</v>
      </c>
      <c r="D40" s="23">
        <v>25000</v>
      </c>
    </row>
    <row r="41" spans="1:26" x14ac:dyDescent="0.35">
      <c r="A41" s="19" t="s">
        <v>37</v>
      </c>
      <c r="B41" s="4" t="s">
        <v>0</v>
      </c>
      <c r="C41" s="22" t="s">
        <v>18</v>
      </c>
      <c r="D41" s="23">
        <v>12000</v>
      </c>
    </row>
    <row r="42" spans="1:26" x14ac:dyDescent="0.35">
      <c r="A42" s="19" t="s">
        <v>36</v>
      </c>
      <c r="B42" s="4" t="s">
        <v>1</v>
      </c>
      <c r="C42" s="22" t="s">
        <v>35</v>
      </c>
      <c r="D42" s="23">
        <v>8000</v>
      </c>
    </row>
    <row r="43" spans="1:26" x14ac:dyDescent="0.35">
      <c r="A43" s="19" t="s">
        <v>32</v>
      </c>
      <c r="B43" s="5" t="s">
        <v>1</v>
      </c>
      <c r="C43" s="22" t="s">
        <v>31</v>
      </c>
      <c r="D43" s="23">
        <v>20000</v>
      </c>
    </row>
    <row r="44" spans="1:26" x14ac:dyDescent="0.35">
      <c r="A44" s="19" t="s">
        <v>30</v>
      </c>
      <c r="B44" s="4" t="s">
        <v>1</v>
      </c>
      <c r="C44" s="22" t="s">
        <v>18</v>
      </c>
      <c r="D44" s="23">
        <v>12000</v>
      </c>
    </row>
    <row r="46" spans="1:26" x14ac:dyDescent="0.35">
      <c r="A46" s="21" t="s">
        <v>21</v>
      </c>
      <c r="B46" s="19" t="s">
        <v>24</v>
      </c>
    </row>
    <row r="47" spans="1:26" x14ac:dyDescent="0.35">
      <c r="A47" s="22" t="s">
        <v>20</v>
      </c>
      <c r="B47" s="23">
        <f>SUMIF(C37:C44,"maadi",D37:D44)</f>
        <v>34000</v>
      </c>
    </row>
    <row r="48" spans="1:26" x14ac:dyDescent="0.35">
      <c r="A48" s="22" t="s">
        <v>19</v>
      </c>
      <c r="B48" s="23">
        <f>SUMIF(C38:C49,"zayed",D38:D49)</f>
        <v>25000</v>
      </c>
    </row>
    <row r="49" spans="1:4" x14ac:dyDescent="0.35">
      <c r="A49" s="22" t="s">
        <v>18</v>
      </c>
      <c r="B49" s="23">
        <f>SUMIF(C39:C50,"dokki",D39:D50)</f>
        <v>24000</v>
      </c>
    </row>
    <row r="50" spans="1:4" x14ac:dyDescent="0.35">
      <c r="A50" s="22" t="s">
        <v>46</v>
      </c>
      <c r="B50" s="23">
        <f>SUMIF(C40:C51,"6th Of October",D40:D51)</f>
        <v>20000</v>
      </c>
    </row>
    <row r="54" spans="1:4" x14ac:dyDescent="0.35">
      <c r="A54" s="24" t="s">
        <v>43</v>
      </c>
      <c r="B54" s="24" t="s">
        <v>42</v>
      </c>
      <c r="C54" s="24" t="s">
        <v>21</v>
      </c>
      <c r="D54" s="24" t="s">
        <v>45</v>
      </c>
    </row>
    <row r="55" spans="1:4" x14ac:dyDescent="0.35">
      <c r="A55" s="24" t="s">
        <v>29</v>
      </c>
      <c r="B55" s="24" t="s">
        <v>1</v>
      </c>
      <c r="C55" s="24" t="s">
        <v>20</v>
      </c>
      <c r="D55" s="22">
        <v>10000</v>
      </c>
    </row>
    <row r="56" spans="1:4" x14ac:dyDescent="0.35">
      <c r="A56" s="24" t="s">
        <v>40</v>
      </c>
      <c r="B56" s="24" t="s">
        <v>0</v>
      </c>
      <c r="C56" s="24" t="s">
        <v>20</v>
      </c>
      <c r="D56" s="22">
        <v>12000</v>
      </c>
    </row>
    <row r="57" spans="1:4" x14ac:dyDescent="0.35">
      <c r="A57" s="24" t="s">
        <v>39</v>
      </c>
      <c r="B57" s="24" t="s">
        <v>1</v>
      </c>
      <c r="C57" s="24" t="s">
        <v>20</v>
      </c>
      <c r="D57" s="22">
        <v>12000</v>
      </c>
    </row>
    <row r="58" spans="1:4" x14ac:dyDescent="0.35">
      <c r="A58" s="24" t="s">
        <v>38</v>
      </c>
      <c r="B58" s="24" t="s">
        <v>0</v>
      </c>
      <c r="C58" s="24" t="s">
        <v>19</v>
      </c>
      <c r="D58" s="22">
        <v>25000</v>
      </c>
    </row>
    <row r="59" spans="1:4" x14ac:dyDescent="0.35">
      <c r="A59" s="24" t="s">
        <v>37</v>
      </c>
      <c r="B59" s="24" t="s">
        <v>0</v>
      </c>
      <c r="C59" s="24" t="s">
        <v>18</v>
      </c>
      <c r="D59" s="22">
        <v>12000</v>
      </c>
    </row>
    <row r="60" spans="1:4" x14ac:dyDescent="0.35">
      <c r="A60" s="24" t="s">
        <v>36</v>
      </c>
      <c r="B60" s="24" t="s">
        <v>1</v>
      </c>
      <c r="C60" s="24" t="s">
        <v>35</v>
      </c>
      <c r="D60" s="22">
        <v>8000</v>
      </c>
    </row>
    <row r="61" spans="1:4" x14ac:dyDescent="0.35">
      <c r="A61" s="24" t="s">
        <v>32</v>
      </c>
      <c r="B61" s="24" t="s">
        <v>1</v>
      </c>
      <c r="C61" s="24" t="s">
        <v>31</v>
      </c>
      <c r="D61" s="22">
        <v>20000</v>
      </c>
    </row>
    <row r="62" spans="1:4" x14ac:dyDescent="0.35">
      <c r="A62" s="24" t="s">
        <v>30</v>
      </c>
      <c r="B62" s="24" t="s">
        <v>1</v>
      </c>
      <c r="C62" s="24" t="s">
        <v>18</v>
      </c>
      <c r="D62" s="22">
        <v>12000</v>
      </c>
    </row>
    <row r="63" spans="1:4" x14ac:dyDescent="0.35">
      <c r="A63" s="24" t="s">
        <v>29</v>
      </c>
      <c r="B63" s="24" t="s">
        <v>1</v>
      </c>
      <c r="C63" s="24" t="s">
        <v>16</v>
      </c>
      <c r="D63" s="22">
        <v>12125</v>
      </c>
    </row>
    <row r="64" spans="1:4" x14ac:dyDescent="0.35">
      <c r="A64" s="24" t="s">
        <v>28</v>
      </c>
      <c r="B64" s="24" t="s">
        <v>0</v>
      </c>
      <c r="C64" s="24" t="s">
        <v>15</v>
      </c>
      <c r="D64" s="22">
        <v>7122</v>
      </c>
    </row>
    <row r="65" spans="1:4" x14ac:dyDescent="0.35">
      <c r="A65" s="24" t="s">
        <v>27</v>
      </c>
      <c r="B65" s="24" t="s">
        <v>26</v>
      </c>
      <c r="C65" s="24" t="s">
        <v>14</v>
      </c>
      <c r="D65" s="22">
        <v>8743</v>
      </c>
    </row>
    <row r="66" spans="1:4" x14ac:dyDescent="0.35">
      <c r="A66" s="24" t="s">
        <v>25</v>
      </c>
      <c r="B66" s="24" t="s">
        <v>1</v>
      </c>
      <c r="C66" s="24" t="s">
        <v>13</v>
      </c>
      <c r="D66" s="22">
        <v>87875</v>
      </c>
    </row>
    <row r="68" spans="1:4" x14ac:dyDescent="0.35">
      <c r="A68" s="24" t="s">
        <v>21</v>
      </c>
      <c r="B68" s="24" t="s">
        <v>24</v>
      </c>
    </row>
    <row r="69" spans="1:4" x14ac:dyDescent="0.35">
      <c r="A69" s="24" t="s">
        <v>20</v>
      </c>
      <c r="B69" s="22">
        <f>SUMIF(C55:C66,"maadi",D55:D66)</f>
        <v>34000</v>
      </c>
    </row>
    <row r="70" spans="1:4" x14ac:dyDescent="0.35">
      <c r="A70" s="24" t="s">
        <v>19</v>
      </c>
      <c r="B70" s="22">
        <f>SUMIF(C55:C66,"zayed",D55:D66)</f>
        <v>25000</v>
      </c>
    </row>
    <row r="71" spans="1:4" x14ac:dyDescent="0.35">
      <c r="A71" s="24" t="s">
        <v>18</v>
      </c>
      <c r="B71" s="22">
        <f>SUMIF(C55:C66,"dokki",D55:D66)</f>
        <v>24000</v>
      </c>
    </row>
    <row r="72" spans="1:4" x14ac:dyDescent="0.35">
      <c r="A72" s="24" t="s">
        <v>17</v>
      </c>
      <c r="B72" s="22">
        <f>SUMIF(C55:C66,"6Th Of October",D55:D66)</f>
        <v>20000</v>
      </c>
    </row>
    <row r="73" spans="1:4" x14ac:dyDescent="0.35">
      <c r="A73" s="24" t="s">
        <v>16</v>
      </c>
      <c r="B73" s="22">
        <f>SUMIF(C55:C66,"faisal",D55:D66)</f>
        <v>12125</v>
      </c>
    </row>
    <row r="74" spans="1:4" x14ac:dyDescent="0.35">
      <c r="A74" s="24" t="s">
        <v>15</v>
      </c>
      <c r="B74" s="22">
        <f>SUMIF(C55:C66,"tagamoa",D55:D66)</f>
        <v>7122</v>
      </c>
    </row>
    <row r="75" spans="1:4" x14ac:dyDescent="0.35">
      <c r="A75" s="24" t="s">
        <v>14</v>
      </c>
      <c r="B75" s="22">
        <f>SUMIF(C55:C66,"nasr city",D55:D66)</f>
        <v>8743</v>
      </c>
    </row>
    <row r="76" spans="1:4" x14ac:dyDescent="0.35">
      <c r="A76" s="24" t="s">
        <v>13</v>
      </c>
      <c r="B76" s="22">
        <f>SUMIF(C55:C66,"mohandseen",D55:D66)</f>
        <v>87875</v>
      </c>
    </row>
    <row r="79" spans="1:4" x14ac:dyDescent="0.35">
      <c r="A79" s="26" t="s">
        <v>21</v>
      </c>
      <c r="B79" s="26" t="s">
        <v>48</v>
      </c>
      <c r="C79" s="26" t="s">
        <v>47</v>
      </c>
    </row>
    <row r="80" spans="1:4" x14ac:dyDescent="0.35">
      <c r="A80" s="24" t="s">
        <v>20</v>
      </c>
      <c r="B80" s="22">
        <v>34000</v>
      </c>
      <c r="C80" s="22">
        <v>50000</v>
      </c>
    </row>
    <row r="81" spans="1:3" x14ac:dyDescent="0.35">
      <c r="A81" s="24" t="s">
        <v>19</v>
      </c>
      <c r="B81" s="22">
        <v>25000</v>
      </c>
      <c r="C81" s="22">
        <v>20000</v>
      </c>
    </row>
    <row r="82" spans="1:3" x14ac:dyDescent="0.35">
      <c r="A82" s="24" t="s">
        <v>18</v>
      </c>
      <c r="B82" s="22">
        <v>24000</v>
      </c>
      <c r="C82" s="22">
        <v>21000</v>
      </c>
    </row>
    <row r="83" spans="1:3" x14ac:dyDescent="0.35">
      <c r="A83" s="24" t="s">
        <v>49</v>
      </c>
      <c r="B83" s="22">
        <v>20000</v>
      </c>
      <c r="C83" s="22">
        <v>40000</v>
      </c>
    </row>
    <row r="84" spans="1:3" x14ac:dyDescent="0.35">
      <c r="A84" s="24" t="s">
        <v>16</v>
      </c>
      <c r="B84" s="22">
        <v>12125</v>
      </c>
      <c r="C84" s="22">
        <v>35000</v>
      </c>
    </row>
    <row r="85" spans="1:3" x14ac:dyDescent="0.35">
      <c r="A85" s="24" t="s">
        <v>15</v>
      </c>
      <c r="B85" s="22">
        <v>7122</v>
      </c>
      <c r="C85" s="22">
        <v>44000</v>
      </c>
    </row>
    <row r="86" spans="1:3" x14ac:dyDescent="0.35">
      <c r="A86" s="24" t="s">
        <v>14</v>
      </c>
      <c r="B86" s="22">
        <v>8743</v>
      </c>
      <c r="C86" s="22">
        <v>8700</v>
      </c>
    </row>
    <row r="87" spans="1:3" x14ac:dyDescent="0.35">
      <c r="A87" s="24" t="s">
        <v>13</v>
      </c>
      <c r="B87" s="22">
        <v>87875</v>
      </c>
      <c r="C87" s="22">
        <v>90000</v>
      </c>
    </row>
    <row r="92" spans="1:3" x14ac:dyDescent="0.35">
      <c r="A92" s="30" t="s">
        <v>23</v>
      </c>
      <c r="B92" s="31" t="s">
        <v>45</v>
      </c>
    </row>
    <row r="93" spans="1:3" x14ac:dyDescent="0.35">
      <c r="A93" s="25">
        <v>45834</v>
      </c>
      <c r="B93" s="27">
        <v>10000</v>
      </c>
    </row>
    <row r="94" spans="1:3" x14ac:dyDescent="0.35">
      <c r="A94" s="25">
        <v>45677</v>
      </c>
      <c r="B94" s="28">
        <v>9000</v>
      </c>
    </row>
    <row r="95" spans="1:3" x14ac:dyDescent="0.35">
      <c r="A95" s="25">
        <v>44849</v>
      </c>
      <c r="B95" s="28">
        <v>12000</v>
      </c>
    </row>
    <row r="96" spans="1:3" x14ac:dyDescent="0.35">
      <c r="A96" s="25">
        <v>44776</v>
      </c>
      <c r="B96" s="28">
        <v>25000</v>
      </c>
    </row>
    <row r="97" spans="1:2" x14ac:dyDescent="0.35">
      <c r="A97" s="25">
        <v>44467</v>
      </c>
      <c r="B97" s="28">
        <v>10000</v>
      </c>
    </row>
    <row r="98" spans="1:2" x14ac:dyDescent="0.35">
      <c r="A98" s="25">
        <v>44428</v>
      </c>
      <c r="B98" s="28">
        <v>8000</v>
      </c>
    </row>
    <row r="99" spans="1:2" x14ac:dyDescent="0.35">
      <c r="A99" s="25">
        <v>44407</v>
      </c>
      <c r="B99" s="28">
        <v>20000</v>
      </c>
    </row>
    <row r="100" spans="1:2" x14ac:dyDescent="0.35">
      <c r="A100" s="25">
        <v>43926</v>
      </c>
      <c r="B100" s="28">
        <v>20000</v>
      </c>
    </row>
    <row r="101" spans="1:2" x14ac:dyDescent="0.35">
      <c r="B101" s="29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8B17-7098-446D-9AF5-DA5302A7299B}">
  <dimension ref="A1:F1"/>
  <sheetViews>
    <sheetView tabSelected="1" workbookViewId="0">
      <selection sqref="A1:F1"/>
    </sheetView>
  </sheetViews>
  <sheetFormatPr defaultRowHeight="14.5" x14ac:dyDescent="0.35"/>
  <sheetData>
    <row r="1" spans="1:6" x14ac:dyDescent="0.35">
      <c r="A1" s="3"/>
      <c r="B1" s="3" t="s">
        <v>34</v>
      </c>
      <c r="C1" s="3" t="s">
        <v>33</v>
      </c>
      <c r="D1" s="3"/>
      <c r="E1" s="3"/>
      <c r="F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before cleaning</vt:lpstr>
      <vt:lpstr>DV(1)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2026-02-05T13:56:35Z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f2ea38-542c-4b75-bd7d-582ec36a519f_Enabled">
    <vt:lpwstr>true</vt:lpwstr>
  </property>
  <property fmtid="{D5CDD505-2E9C-101B-9397-08002B2CF9AE}" pid="3" name="MSIP_Label_abf2ea38-542c-4b75-bd7d-582ec36a519f_SetDate">
    <vt:lpwstr>2021-09-28T19:19:37Z</vt:lpwstr>
  </property>
  <property fmtid="{D5CDD505-2E9C-101B-9397-08002B2CF9AE}" pid="4" name="MSIP_Label_abf2ea38-542c-4b75-bd7d-582ec36a519f_Method">
    <vt:lpwstr>Standard</vt:lpwstr>
  </property>
  <property fmtid="{D5CDD505-2E9C-101B-9397-08002B2CF9AE}" pid="5" name="MSIP_Label_abf2ea38-542c-4b75-bd7d-582ec36a519f_Name">
    <vt:lpwstr>Protected A</vt:lpwstr>
  </property>
  <property fmtid="{D5CDD505-2E9C-101B-9397-08002B2CF9AE}" pid="6" name="MSIP_Label_abf2ea38-542c-4b75-bd7d-582ec36a519f_SiteId">
    <vt:lpwstr>2bb51c06-af9b-42c5-8bf5-3c3b7b10850b</vt:lpwstr>
  </property>
  <property fmtid="{D5CDD505-2E9C-101B-9397-08002B2CF9AE}" pid="7" name="MSIP_Label_abf2ea38-542c-4b75-bd7d-582ec36a519f_ActionId">
    <vt:lpwstr>f8edd8b5-ecbd-4d4d-b53d-336b44df2dc7</vt:lpwstr>
  </property>
  <property fmtid="{D5CDD505-2E9C-101B-9397-08002B2CF9AE}" pid="8" name="MSIP_Label_abf2ea38-542c-4b75-bd7d-582ec36a519f_ContentBits">
    <vt:lpwstr>2</vt:lpwstr>
  </property>
</Properties>
</file>