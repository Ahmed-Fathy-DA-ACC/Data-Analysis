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slicers/slicer2.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slicers/slicer3.xml" ContentType="application/vnd.ms-excel.slicer+xml"/>
  <Override PartName="/xl/timelines/timeline1.xml" ContentType="application/vnd.ms-excel.timelin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6.xml" ContentType="application/vnd.openxmlformats-officedocument.drawing+xml"/>
  <Override PartName="/xl/slicers/slicer4.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AHMED\DEPI 4\Week 7\Day 1\Project 1 excel\"/>
    </mc:Choice>
  </mc:AlternateContent>
  <xr:revisionPtr revIDLastSave="0" documentId="13_ncr:1_{89530BC8-6C22-4735-BC2C-BDFA5C09835E}" xr6:coauthVersionLast="47" xr6:coauthVersionMax="47" xr10:uidLastSave="{00000000-0000-0000-0000-000000000000}"/>
  <bookViews>
    <workbookView xWindow="-110" yWindow="-110" windowWidth="19420" windowHeight="10300" activeTab="2" xr2:uid="{49984801-274B-40C3-897B-E7A08D072ED2}"/>
  </bookViews>
  <sheets>
    <sheet name="Sheet1" sheetId="1" r:id="rId1"/>
    <sheet name="Sheet2" sheetId="2" r:id="rId2"/>
    <sheet name="Intero" sheetId="6" r:id="rId3"/>
    <sheet name="Region" sheetId="18" r:id="rId4"/>
    <sheet name="Product" sheetId="19" r:id="rId5"/>
    <sheet name="Sales - Rep" sheetId="21" r:id="rId6"/>
    <sheet name="Category" sheetId="17" r:id="rId7"/>
  </sheets>
  <definedNames>
    <definedName name="NativeTimeline_Date">#N/A</definedName>
    <definedName name="Slicer_Category">#N/A</definedName>
    <definedName name="Slicer_Product">#N/A</definedName>
    <definedName name="Slicer_Region">#N/A</definedName>
    <definedName name="Slicer_Sales_Rep">#N/A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0" i="18" l="1"/>
  <c r="D63" i="2"/>
  <c r="D57" i="2"/>
</calcChain>
</file>

<file path=xl/sharedStrings.xml><?xml version="1.0" encoding="utf-8"?>
<sst xmlns="http://schemas.openxmlformats.org/spreadsheetml/2006/main" count="736" uniqueCount="155">
  <si>
    <t>Order ID</t>
  </si>
  <si>
    <t>Date</t>
  </si>
  <si>
    <t>Region</t>
  </si>
  <si>
    <t>Sales Rep</t>
  </si>
  <si>
    <t>Product</t>
  </si>
  <si>
    <t>Category</t>
  </si>
  <si>
    <t>Quantity</t>
  </si>
  <si>
    <t>Unit Price</t>
  </si>
  <si>
    <t>Total Sales</t>
  </si>
  <si>
    <t>ORD-1000</t>
  </si>
  <si>
    <t>South</t>
  </si>
  <si>
    <t>Mike Brown</t>
  </si>
  <si>
    <t>Chair</t>
  </si>
  <si>
    <t>Furniture</t>
  </si>
  <si>
    <t>ORD-1001</t>
  </si>
  <si>
    <t>North</t>
  </si>
  <si>
    <t>Sarah Johnson</t>
  </si>
  <si>
    <t>Phone</t>
  </si>
  <si>
    <t>Electronics</t>
  </si>
  <si>
    <t>ORD-1002</t>
  </si>
  <si>
    <t>Monitor</t>
  </si>
  <si>
    <t>ORD-1003</t>
  </si>
  <si>
    <t>John Smith</t>
  </si>
  <si>
    <t>Headphones</t>
  </si>
  <si>
    <t>Accessories</t>
  </si>
  <si>
    <t>ORD-1004</t>
  </si>
  <si>
    <t>West</t>
  </si>
  <si>
    <t>Tom Anderson</t>
  </si>
  <si>
    <t>Tablet</t>
  </si>
  <si>
    <t>ORD-1005</t>
  </si>
  <si>
    <t>East</t>
  </si>
  <si>
    <t>David Wilson</t>
  </si>
  <si>
    <t>Desk</t>
  </si>
  <si>
    <t>ORD-1006</t>
  </si>
  <si>
    <t>Lisa Garcia</t>
  </si>
  <si>
    <t>ORD-1007</t>
  </si>
  <si>
    <t>ORD-1008</t>
  </si>
  <si>
    <t>ORD-1009</t>
  </si>
  <si>
    <t>ORD-1010</t>
  </si>
  <si>
    <t>Mouse</t>
  </si>
  <si>
    <t>ORD-1011</t>
  </si>
  <si>
    <t>Anna Davis</t>
  </si>
  <si>
    <t>ORD-1012</t>
  </si>
  <si>
    <t>ORD-1013</t>
  </si>
  <si>
    <t>ORD-1014</t>
  </si>
  <si>
    <t>ORD-1015</t>
  </si>
  <si>
    <t>Emma Taylor</t>
  </si>
  <si>
    <t>Laptop</t>
  </si>
  <si>
    <t>ORD-1016</t>
  </si>
  <si>
    <t>Printer</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</si>
  <si>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</si>
  <si>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</si>
  <si>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</si>
  <si>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</si>
  <si>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</si>
  <si>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</si>
  <si>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</si>
  <si>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</si>
  <si>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</si>
  <si>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</si>
  <si>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</si>
  <si>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</si>
  <si>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</si>
  <si>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</si>
  <si>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</si>
  <si>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</si>
  <si>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</si>
  <si>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</si>
  <si>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</si>
  <si>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</si>
  <si>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</si>
  <si>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</si>
  <si>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</si>
  <si>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</si>
  <si>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</si>
  <si>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</si>
  <si>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Keyboard</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</si>
  <si>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</si>
  <si>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</si>
  <si>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</si>
  <si>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</si>
  <si>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</si>
  <si>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</si>
  <si>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</si>
  <si>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</si>
  <si>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</si>
  <si>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</si>
  <si>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</si>
  <si>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</si>
  <si>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</si>
  <si>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</si>
  <si>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</si>
  <si>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</si>
  <si>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</si>
  <si>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</si>
  <si>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</si>
  <si>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</si>
  <si>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</si>
  <si>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</si>
  <si>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</si>
  <si>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</si>
  <si>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</si>
  <si>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</si>
  <si>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</si>
  <si>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</si>
  <si>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</si>
  <si>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</si>
  <si>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</si>
  <si>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</si>
  <si>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</si>
  <si>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</si>
  <si>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</si>
  <si>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</si>
  <si>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</si>
  <si>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</si>
  <si>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</si>
  <si>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</si>
  <si>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</si>
  <si>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</si>
  <si>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</si>
  <si>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</si>
  <si>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</si>
  <si>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</si>
  <si>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</si>
  <si>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</si>
  <si>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</si>
  <si>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</si>
  <si>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</si>
  <si>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</si>
  <si>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</si>
  <si>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</si>
  <si>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</si>
  <si>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</si>
  <si>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</si>
  <si>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Row Labels</t>
  </si>
  <si>
    <t>Grand Total</t>
  </si>
  <si>
    <t>Average of Total Sales</t>
  </si>
  <si>
    <t>(All)</t>
  </si>
  <si>
    <t>Column Labels</t>
  </si>
  <si>
    <t>Sum of Quantity</t>
  </si>
  <si>
    <t>Sum of Total Sales</t>
  </si>
  <si>
    <t>Jan</t>
  </si>
  <si>
    <t>Feb</t>
  </si>
  <si>
    <t>Mar</t>
  </si>
  <si>
    <t>Apr</t>
  </si>
  <si>
    <t>May</t>
  </si>
  <si>
    <t>Jun</t>
  </si>
  <si>
    <t>Jul</t>
  </si>
  <si>
    <t>Aug</t>
  </si>
  <si>
    <t>Sep</t>
  </si>
  <si>
    <t>Oct</t>
  </si>
  <si>
    <t>Nov</t>
  </si>
  <si>
    <t>Dec</t>
  </si>
  <si>
    <t>Sum of Unit Price</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</si>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</sst>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t;=1000000]0.##,,&quot;M&quot;;[&gt;=1000]0.#,&quot;K&quot;;0"/>
  </numFmts>
  <fonts count="18" x14ac:knownFonts="1">
    <font>
      <sz val="14"/>
      <color theme="1"/>
      <name val="Times New Roman"/>
      <family val="2"/>
    </font>
    <font>
      <sz val="14"/>
      <color theme="1"/>
      <name val="Times New Roman"/>
      <family val="2"/>
    </font>
    <font>
      <sz val="18"/>
      <color theme="3"/>
      <name val="Aptos Display"/>
      <family val="2"/>
      <scheme val="major"/>
    </font>
    <font>
      <b/>
      <sz val="15"/>
      <color theme="3"/>
      <name val="Times New Roman"/>
      <family val="2"/>
    </font>
    <font>
      <b/>
      <sz val="13"/>
      <color theme="3"/>
      <name val="Times New Roman"/>
      <family val="2"/>
    </font>
    <font>
      <b/>
      <sz val="11"/>
      <color theme="3"/>
      <name val="Times New Roman"/>
      <family val="2"/>
    </font>
    <font>
      <sz val="14"/>
      <color rgb="FF006100"/>
      <name val="Times New Roman"/>
      <family val="2"/>
    </font>
    <font>
      <sz val="14"/>
      <color rgb="FF9C0006"/>
      <name val="Times New Roman"/>
      <family val="2"/>
    </font>
    <font>
      <sz val="14"/>
      <color rgb="FF9C5700"/>
      <name val="Times New Roman"/>
      <family val="2"/>
    </font>
    <font>
      <sz val="14"/>
      <color rgb="FF3F3F76"/>
      <name val="Times New Roman"/>
      <family val="2"/>
    </font>
    <font>
      <b/>
      <sz val="14"/>
      <color rgb="FF3F3F3F"/>
      <name val="Times New Roman"/>
      <family val="2"/>
    </font>
    <font>
      <b/>
      <sz val="14"/>
      <color rgb="FFFA7D00"/>
      <name val="Times New Roman"/>
      <family val="2"/>
    </font>
    <font>
      <sz val="14"/>
      <color rgb="FFFA7D00"/>
      <name val="Times New Roman"/>
      <family val="2"/>
    </font>
    <font>
      <b/>
      <sz val="14"/>
      <color theme="0"/>
      <name val="Times New Roman"/>
      <family val="2"/>
    </font>
    <font>
      <sz val="14"/>
      <color rgb="FFFF0000"/>
      <name val="Times New Roman"/>
      <family val="2"/>
    </font>
    <font>
      <i/>
      <sz val="14"/>
      <color rgb="FF7F7F7F"/>
      <name val="Times New Roman"/>
      <family val="2"/>
    </font>
    <font>
      <b/>
      <sz val="14"/>
      <color theme="1"/>
      <name val="Times New Roman"/>
      <family val="2"/>
    </font>
    <font>
      <sz val="14"/>
      <color theme="0"/>
      <name val="Times New Roman"/>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D870"/>
        <bgColor indexed="64"/>
      </patternFill>
    </fill>
    <fill>
      <patternFill patternType="solid">
        <fgColor theme="4" tint="0.79998168889431442"/>
        <bgColor theme="4" tint="0.79998168889431442"/>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4" fontId="0" fillId="0" borderId="0" xfId="0" applyNumberFormat="1"/>
    <xf numFmtId="164" fontId="0" fillId="0" borderId="0" xfId="0" applyNumberFormat="1"/>
    <xf numFmtId="14" fontId="0" fillId="35" borderId="0" xfId="0" applyNumberFormat="1" applyFill="1"/>
    <xf numFmtId="0" fontId="0" fillId="35" borderId="0" xfId="0" applyFill="1"/>
    <xf numFmtId="164" fontId="16" fillId="34"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64" formatCode="[&gt;=1000000]0.##,,&quot;M&quot;;[&gt;=1000]0.#,&quot;K&quot;;0"/>
    </dxf>
    <dxf>
      <numFmt numFmtId="164" formatCode="[&gt;=1000000]0.##,,&quot;M&quot;;[&gt;=1000]0.#,&quot;K&quot;;0"/>
    </dxf>
    <dxf>
      <numFmt numFmtId="164" formatCode="[&gt;=1000000]0.##,,&quot;M&quot;;[&gt;=1000]0.#,&quot;K&quot;;0"/>
    </dxf>
    <dxf>
      <fill>
        <patternFill patternType="solid">
          <bgColor rgb="FFFFFF00"/>
        </patternFill>
      </fill>
    </dxf>
    <dxf>
      <fill>
        <patternFill patternType="solid">
          <bgColor rgb="FFFFFF00"/>
        </patternFill>
      </fill>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4" formatCode="0.00%"/>
    </dxf>
    <dxf>
      <numFmt numFmtId="164" formatCode="[&gt;=1000000]0.##,,&quot;M&quot;;[&gt;=1000]0.#,&quot;K&quot;;0"/>
    </dxf>
    <dxf>
      <font>
        <b/>
        <sz val="11"/>
        <color theme="1"/>
      </font>
      <border>
        <vertical/>
        <horizontal/>
      </border>
    </dxf>
    <dxf>
      <font>
        <color theme="1"/>
      </font>
      <border diagonalUp="0" diagonalDown="0">
        <left/>
        <right/>
        <top/>
        <bottom/>
        <vertical/>
        <horizontal/>
      </border>
    </dxf>
    <dxf>
      <font>
        <b/>
        <sz val="11"/>
        <color theme="1"/>
      </font>
      <border>
        <vertical/>
        <horizontal/>
      </border>
    </dxf>
    <dxf>
      <font>
        <color theme="1"/>
      </font>
      <border>
        <left style="thin">
          <color theme="9"/>
        </left>
        <right style="thin">
          <color theme="9"/>
        </right>
        <top style="thin">
          <color theme="9"/>
        </top>
        <bottom style="thin">
          <color theme="9"/>
        </bottom>
        <vertical/>
        <horizontal/>
      </border>
    </dxf>
    <dxf>
      <fill>
        <patternFill patternType="none">
          <bgColor auto="1"/>
        </patternFill>
      </fill>
    </dxf>
    <dxf>
      <border diagonalUp="0" diagonalDown="0">
        <left/>
        <right/>
        <top/>
        <bottom/>
        <vertical/>
        <horizontal/>
      </border>
    </dxf>
    <dxf>
      <fill>
        <patternFill>
          <fgColor theme="9"/>
          <bgColor theme="0"/>
        </patternFill>
      </fill>
      <border diagonalUp="0" diagonalDown="0">
        <left/>
        <right/>
        <top/>
        <bottom/>
        <vertical/>
        <horizontal/>
      </border>
    </dxf>
    <dxf>
      <fill>
        <patternFill>
          <fgColor theme="9"/>
          <bgColor theme="9"/>
        </patternFill>
      </fill>
      <border diagonalUp="0" diagonalDown="0">
        <left/>
        <right/>
        <top/>
        <bottom/>
        <vertical/>
        <horizontal/>
      </border>
    </dxf>
    <dxf>
      <fill>
        <patternFill>
          <fgColor theme="9"/>
        </patternFill>
      </fill>
    </dxf>
  </dxfs>
  <tableStyles count="7" defaultTableStyle="TableStyleMedium2" defaultPivotStyle="PivotStyleLight16">
    <tableStyle name="1" pivot="0" table="0" count="1" xr9:uid="{D5F0CCEF-50D7-4774-AE10-EA3181F151C6}">
      <tableStyleElement type="wholeTable" dxfId="21"/>
    </tableStyle>
    <tableStyle name="1 2" pivot="0" table="0" count="1" xr9:uid="{EA39FFFA-4C82-4654-9D3B-1D4128F6781F}">
      <tableStyleElement type="wholeTable" dxfId="20"/>
    </tableStyle>
    <tableStyle name="1 2 2" pivot="0" table="0" count="2" xr9:uid="{8480F9B5-2A24-40BA-94C4-86D29F9F4F1C}">
      <tableStyleElement type="wholeTable" dxfId="19"/>
      <tableStyleElement type="headerRow" dxfId="18"/>
    </tableStyle>
    <tableStyle name="Slicer Style 1" pivot="0" table="0" count="1" xr9:uid="{DEF45C1B-4781-4F42-93FF-CB6745649AAD}"/>
    <tableStyle name="Slicer Style 2" pivot="0" table="0" count="2" xr9:uid="{6AEFE695-65D1-44EF-9A82-EA342521870F}">
      <tableStyleElement type="headerRow" dxfId="17"/>
    </tableStyle>
    <tableStyle name="Time series data 2" pivot="0" table="0" count="9" xr9:uid="{213E241E-A344-40EF-8E78-9074708FA6F4}">
      <tableStyleElement type="wholeTable" dxfId="16"/>
      <tableStyleElement type="headerRow" dxfId="15"/>
    </tableStyle>
    <tableStyle name="TimeSlicerStyleDark6 2" pivot="0" table="0" count="9" xr9:uid="{1BA35941-BC93-42BE-909E-5193922F56EF}">
      <tableStyleElement type="wholeTable" dxfId="14"/>
      <tableStyleElement type="headerRow" dxfId="13"/>
    </tableStyle>
  </tableStyles>
  <colors>
    <mruColors>
      <color rgb="FFC6D870"/>
    </mruColors>
  </colors>
  <extLst>
    <ext xmlns:x14="http://schemas.microsoft.com/office/spreadsheetml/2009/9/main" uri="{46F421CA-312F-682f-3DD2-61675219B42D}">
      <x14:dxfs count="2">
        <dxf>
          <fill>
            <patternFill>
              <bgColor theme="9"/>
            </patternFill>
          </fill>
        </dxf>
        <dxf>
          <fill>
            <patternFill>
              <bgColor theme="9"/>
            </patternFill>
          </fill>
        </dxf>
      </x14:dxfs>
    </ext>
    <ext xmlns:x14="http://schemas.microsoft.com/office/spreadsheetml/2009/9/main" uri="{EB79DEF2-80B8-43e5-95BD-54CBDDF9020C}">
      <x14:slicerStyles defaultSlicerStyle="SlicerStyleLight1">
        <x14:slicerStyle name="1"/>
        <x14:slicerStyle name="1 2"/>
        <x14:slicerStyle name="1 2 2"/>
        <x14:slicerStyle name="Slicer Style 1">
          <x14:slicerStyleElements>
            <x14:slicerStyleElement type="selectedItemWithNo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A0A4C193-F2C1-4fcb-8827-314CF55A85BB}">
      <x15:dxfs count="14">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 series data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Dark6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 After format 1.xlsx]Sheet2!No.of  Quantity Order each sales Rep</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rPr>
              <a:t>No.</a:t>
            </a:r>
            <a:r>
              <a:rPr lang="en-US" b="1" i="1" baseline="0">
                <a:solidFill>
                  <a:schemeClr val="tx1"/>
                </a:solidFill>
              </a:rPr>
              <a:t>of  Quantity Order each sales Rep</a:t>
            </a:r>
            <a:endParaRPr lang="en-US"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62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15676183501573E-2"/>
          <c:y val="0.19386740331491711"/>
          <c:w val="0.92810459366358045"/>
          <c:h val="0.73430939226519332"/>
        </c:manualLayout>
      </c:layout>
      <c:barChart>
        <c:barDir val="col"/>
        <c:grouping val="clustered"/>
        <c:varyColors val="0"/>
        <c:ser>
          <c:idx val="0"/>
          <c:order val="0"/>
          <c:tx>
            <c:strRef>
              <c:f>Sheet2!$V$1</c:f>
              <c:strCache>
                <c:ptCount val="1"/>
                <c:pt idx="0">
                  <c:v>Total</c:v>
                </c:pt>
              </c:strCache>
            </c:strRef>
          </c:tx>
          <c:spPr>
            <a:solidFill>
              <a:srgbClr val="562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Sheet2!$T$2:$U$9</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Sheet2!$V$2:$V$9</c:f>
              <c:numCache>
                <c:formatCode>General</c:formatCode>
                <c:ptCount val="8"/>
                <c:pt idx="0">
                  <c:v>22</c:v>
                </c:pt>
                <c:pt idx="1">
                  <c:v>31</c:v>
                </c:pt>
                <c:pt idx="2">
                  <c:v>106</c:v>
                </c:pt>
                <c:pt idx="3">
                  <c:v>100</c:v>
                </c:pt>
                <c:pt idx="4">
                  <c:v>55</c:v>
                </c:pt>
                <c:pt idx="5">
                  <c:v>79</c:v>
                </c:pt>
                <c:pt idx="6">
                  <c:v>100</c:v>
                </c:pt>
                <c:pt idx="7">
                  <c:v>72</c:v>
                </c:pt>
              </c:numCache>
            </c:numRef>
          </c:val>
          <c:extLst>
            <c:ext xmlns:c16="http://schemas.microsoft.com/office/drawing/2014/chart" uri="{C3380CC4-5D6E-409C-BE32-E72D297353CC}">
              <c16:uniqueId val="{00000000-DF2D-42D1-A57A-7CA5FFE136DE}"/>
            </c:ext>
          </c:extLst>
        </c:ser>
        <c:dLbls>
          <c:dLblPos val="outEnd"/>
          <c:showLegendKey val="0"/>
          <c:showVal val="1"/>
          <c:showCatName val="0"/>
          <c:showSerName val="0"/>
          <c:showPercent val="0"/>
          <c:showBubbleSize val="0"/>
        </c:dLbls>
        <c:gapWidth val="219"/>
        <c:overlap val="-27"/>
        <c:axId val="634957208"/>
        <c:axId val="634957928"/>
      </c:barChart>
      <c:catAx>
        <c:axId val="634957208"/>
        <c:scaling>
          <c:orientation val="minMax"/>
        </c:scaling>
        <c:delete val="0"/>
        <c:axPos val="b"/>
        <c:numFmt formatCode="General" sourceLinked="1"/>
        <c:majorTickMark val="out"/>
        <c:minorTickMark val="none"/>
        <c:tickLblPos val="nextTo"/>
        <c:spPr>
          <a:noFill/>
          <a:ln w="9525" cap="flat" cmpd="sng" algn="ctr">
            <a:solidFill>
              <a:srgbClr val="FFCE99"/>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634957928"/>
        <c:crosses val="autoZero"/>
        <c:auto val="1"/>
        <c:lblAlgn val="ctr"/>
        <c:lblOffset val="100"/>
        <c:noMultiLvlLbl val="0"/>
      </c:catAx>
      <c:valAx>
        <c:axId val="634957928"/>
        <c:scaling>
          <c:orientation val="minMax"/>
        </c:scaling>
        <c:delete val="1"/>
        <c:axPos val="l"/>
        <c:numFmt formatCode="General" sourceLinked="1"/>
        <c:majorTickMark val="out"/>
        <c:minorTickMark val="none"/>
        <c:tickLblPos val="nextTo"/>
        <c:crossAx val="634957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E99"/>
    </a:solidFill>
    <a:ln w="9525" cap="flat" cmpd="sng" algn="ctr">
      <a:solidFill>
        <a:schemeClr val="tx1">
          <a:lumMod val="95000"/>
          <a:lumOff val="5000"/>
        </a:schemeClr>
      </a:solidFill>
      <a:round/>
    </a:ln>
    <a:effectLst/>
    <a:scene3d>
      <a:camera prst="orthographicFront"/>
      <a:lightRig rig="threePt" dir="t"/>
    </a:scene3d>
    <a:sp3d>
      <a:bevelT w="635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 After format 1.xlsx]Sheet2!Total  sales by date</c:name>
    <c:fmtId val="31"/>
  </c:pivotSource>
  <c:chart>
    <c:title>
      <c:tx>
        <c:rich>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r>
              <a:rPr lang="en-US" b="1" i="1">
                <a:solidFill>
                  <a:schemeClr val="tx1"/>
                </a:solidFill>
              </a:rPr>
              <a:t>Total</a:t>
            </a:r>
            <a:r>
              <a:rPr lang="en-US" b="1" i="1" baseline="0">
                <a:solidFill>
                  <a:schemeClr val="tx1"/>
                </a:solidFill>
              </a:rPr>
              <a:t>  sales by date</a:t>
            </a:r>
            <a:endParaRPr lang="en-US" b="1" i="1">
              <a:solidFill>
                <a:schemeClr val="tx1"/>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rgbClr val="562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Sheet2!$BU$2</c:f>
              <c:strCache>
                <c:ptCount val="1"/>
                <c:pt idx="0">
                  <c:v>Total</c:v>
                </c:pt>
              </c:strCache>
            </c:strRef>
          </c:tx>
          <c:spPr>
            <a:ln w="28575" cap="rnd">
              <a:solidFill>
                <a:srgbClr val="562F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Sheet2!$BT$3:$BT$14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Sheet2!$BU$3:$BU$14</c:f>
              <c:numCache>
                <c:formatCode>0.00%</c:formatCode>
                <c:ptCount val="12"/>
                <c:pt idx="0">
                  <c:v>6.8292199425116468E-2</c:v>
                </c:pt>
                <c:pt idx="1">
                  <c:v>0.12449202101298444</c:v>
                </c:pt>
                <c:pt idx="2">
                  <c:v>7.0294380017841218E-2</c:v>
                </c:pt>
                <c:pt idx="3">
                  <c:v>0.14550500545148182</c:v>
                </c:pt>
                <c:pt idx="4">
                  <c:v>6.0759242739617407E-2</c:v>
                </c:pt>
                <c:pt idx="5">
                  <c:v>5.146198830409357E-2</c:v>
                </c:pt>
                <c:pt idx="6">
                  <c:v>9.9712558231737539E-2</c:v>
                </c:pt>
                <c:pt idx="7">
                  <c:v>0.10732480919813658</c:v>
                </c:pt>
                <c:pt idx="8">
                  <c:v>7.2058677767865995E-2</c:v>
                </c:pt>
                <c:pt idx="9">
                  <c:v>5.3939934582218255E-2</c:v>
                </c:pt>
                <c:pt idx="10">
                  <c:v>6.4426603231241941E-2</c:v>
                </c:pt>
                <c:pt idx="11">
                  <c:v>8.1732580037664787E-2</c:v>
                </c:pt>
              </c:numCache>
            </c:numRef>
          </c:val>
          <c:smooth val="0"/>
          <c:extLst>
            <c:ext xmlns:c16="http://schemas.microsoft.com/office/drawing/2014/chart" uri="{C3380CC4-5D6E-409C-BE32-E72D297353CC}">
              <c16:uniqueId val="{00000000-685C-4D71-8E62-ACA2D4B7363D}"/>
            </c:ext>
          </c:extLst>
        </c:ser>
        <c:dLbls>
          <c:dLblPos val="t"/>
          <c:showLegendKey val="0"/>
          <c:showVal val="1"/>
          <c:showCatName val="0"/>
          <c:showSerName val="0"/>
          <c:showPercent val="0"/>
          <c:showBubbleSize val="0"/>
        </c:dLbls>
        <c:smooth val="0"/>
        <c:axId val="634974128"/>
        <c:axId val="634976648"/>
      </c:lineChart>
      <c:catAx>
        <c:axId val="63497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4976648"/>
        <c:crosses val="autoZero"/>
        <c:auto val="1"/>
        <c:lblAlgn val="ctr"/>
        <c:lblOffset val="100"/>
        <c:noMultiLvlLbl val="0"/>
      </c:catAx>
      <c:valAx>
        <c:axId val="634976648"/>
        <c:scaling>
          <c:orientation val="minMax"/>
        </c:scaling>
        <c:delete val="1"/>
        <c:axPos val="l"/>
        <c:numFmt formatCode="0.00%" sourceLinked="1"/>
        <c:majorTickMark val="none"/>
        <c:minorTickMark val="none"/>
        <c:tickLblPos val="nextTo"/>
        <c:crossAx val="63497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E99"/>
    </a:solidFill>
    <a:ln w="9525" cap="flat" cmpd="sng" algn="ctr">
      <a:solidFill>
        <a:schemeClr val="tx1">
          <a:lumMod val="15000"/>
          <a:lumOff val="85000"/>
        </a:schemeClr>
      </a:solidFill>
      <a:round/>
    </a:ln>
    <a:effectLst/>
    <a:scene3d>
      <a:camera prst="orthographicFront"/>
      <a:lightRig rig="threePt" dir="t"/>
    </a:scene3d>
    <a:sp3d>
      <a:bevelT w="63500" h="63500"/>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 After format 1.xlsx]Sheet2!Sum Of Q per Reguon</c:name>
    <c:fmtId val="20"/>
  </c:pivotSource>
  <c:chart>
    <c:title>
      <c:tx>
        <c:rich>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r>
              <a:rPr lang="en-US" b="1" i="1">
                <a:solidFill>
                  <a:schemeClr val="tx1"/>
                </a:solidFill>
              </a:rPr>
              <a:t>Sum</a:t>
            </a:r>
            <a:r>
              <a:rPr lang="en-US" b="1" i="1" baseline="0">
                <a:solidFill>
                  <a:schemeClr val="tx1"/>
                </a:solidFill>
              </a:rPr>
              <a:t> of Quantity per Region</a:t>
            </a:r>
            <a:endParaRPr lang="en-US" b="1" i="1">
              <a:solidFill>
                <a:schemeClr val="tx1"/>
              </a:solidFill>
            </a:endParaRPr>
          </a:p>
        </c:rich>
      </c:tx>
      <c:layout>
        <c:manualLayout>
          <c:xMode val="edge"/>
          <c:yMode val="edge"/>
          <c:x val="0.16582222222222223"/>
          <c:y val="8.7712329727330077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rgbClr val="562F00"/>
          </a:solidFill>
          <a:ln w="19050">
            <a:solidFill>
              <a:schemeClr val="lt1"/>
            </a:solidFill>
          </a:ln>
          <a:effectLst/>
        </c:spPr>
      </c:pivotFmt>
      <c:pivotFmt>
        <c:idx val="12"/>
        <c:spPr>
          <a:solidFill>
            <a:srgbClr val="5F513B"/>
          </a:solidFill>
          <a:ln w="19050">
            <a:solidFill>
              <a:schemeClr val="lt1"/>
            </a:solidFill>
          </a:ln>
          <a:effectLst/>
        </c:spPr>
      </c:pivotFmt>
      <c:pivotFmt>
        <c:idx val="13"/>
        <c:spPr>
          <a:solidFill>
            <a:srgbClr val="864900"/>
          </a:solidFill>
          <a:ln w="19050">
            <a:solidFill>
              <a:schemeClr val="lt1"/>
            </a:solidFill>
          </a:ln>
          <a:effectLst/>
        </c:spPr>
      </c:pivotFmt>
      <c:pivotFmt>
        <c:idx val="14"/>
        <c:spPr>
          <a:solidFill>
            <a:srgbClr val="CC6600"/>
          </a:solidFill>
          <a:ln w="19050">
            <a:solidFill>
              <a:schemeClr val="lt1"/>
            </a:solidFill>
          </a:ln>
          <a:effectLst/>
        </c:spPr>
      </c:pivotFmt>
    </c:pivotFmts>
    <c:plotArea>
      <c:layout>
        <c:manualLayout>
          <c:layoutTarget val="inner"/>
          <c:xMode val="edge"/>
          <c:yMode val="edge"/>
          <c:x val="0.21914488575905899"/>
          <c:y val="0.26357203956747749"/>
          <c:w val="0.53315890332985483"/>
          <c:h val="0.61977855709212815"/>
        </c:manualLayout>
      </c:layout>
      <c:pieChart>
        <c:varyColors val="1"/>
        <c:ser>
          <c:idx val="0"/>
          <c:order val="0"/>
          <c:tx>
            <c:strRef>
              <c:f>Sheet2!$O$1</c:f>
              <c:strCache>
                <c:ptCount val="1"/>
                <c:pt idx="0">
                  <c:v>Total</c:v>
                </c:pt>
              </c:strCache>
            </c:strRef>
          </c:tx>
          <c:dPt>
            <c:idx val="0"/>
            <c:bubble3D val="0"/>
            <c:spPr>
              <a:solidFill>
                <a:srgbClr val="562F00"/>
              </a:solidFill>
              <a:ln w="19050">
                <a:solidFill>
                  <a:schemeClr val="lt1"/>
                </a:solidFill>
              </a:ln>
              <a:effectLst/>
            </c:spPr>
            <c:extLst>
              <c:ext xmlns:c16="http://schemas.microsoft.com/office/drawing/2014/chart" uri="{C3380CC4-5D6E-409C-BE32-E72D297353CC}">
                <c16:uniqueId val="{00000001-31FA-49AE-BE7C-D4A51BB19349}"/>
              </c:ext>
            </c:extLst>
          </c:dPt>
          <c:dPt>
            <c:idx val="1"/>
            <c:bubble3D val="0"/>
            <c:spPr>
              <a:solidFill>
                <a:srgbClr val="5F513B"/>
              </a:solidFill>
              <a:ln w="19050">
                <a:solidFill>
                  <a:schemeClr val="lt1"/>
                </a:solidFill>
              </a:ln>
              <a:effectLst/>
            </c:spPr>
            <c:extLst>
              <c:ext xmlns:c16="http://schemas.microsoft.com/office/drawing/2014/chart" uri="{C3380CC4-5D6E-409C-BE32-E72D297353CC}">
                <c16:uniqueId val="{00000003-31FA-49AE-BE7C-D4A51BB19349}"/>
              </c:ext>
            </c:extLst>
          </c:dPt>
          <c:dPt>
            <c:idx val="2"/>
            <c:bubble3D val="0"/>
            <c:spPr>
              <a:solidFill>
                <a:srgbClr val="864900"/>
              </a:solidFill>
              <a:ln w="19050">
                <a:solidFill>
                  <a:schemeClr val="lt1"/>
                </a:solidFill>
              </a:ln>
              <a:effectLst/>
            </c:spPr>
            <c:extLst>
              <c:ext xmlns:c16="http://schemas.microsoft.com/office/drawing/2014/chart" uri="{C3380CC4-5D6E-409C-BE32-E72D297353CC}">
                <c16:uniqueId val="{00000005-31FA-49AE-BE7C-D4A51BB19349}"/>
              </c:ext>
            </c:extLst>
          </c:dPt>
          <c:dPt>
            <c:idx val="3"/>
            <c:bubble3D val="0"/>
            <c:spPr>
              <a:solidFill>
                <a:srgbClr val="CC6600"/>
              </a:solidFill>
              <a:ln w="19050">
                <a:solidFill>
                  <a:schemeClr val="lt1"/>
                </a:solidFill>
              </a:ln>
              <a:effectLst/>
            </c:spPr>
            <c:extLst>
              <c:ext xmlns:c16="http://schemas.microsoft.com/office/drawing/2014/chart" uri="{C3380CC4-5D6E-409C-BE32-E72D297353CC}">
                <c16:uniqueId val="{00000007-31FA-49AE-BE7C-D4A51BB193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Sheet2!$N$2:$N$6</c:f>
              <c:strCache>
                <c:ptCount val="4"/>
                <c:pt idx="0">
                  <c:v>East</c:v>
                </c:pt>
                <c:pt idx="1">
                  <c:v>North</c:v>
                </c:pt>
                <c:pt idx="2">
                  <c:v>South</c:v>
                </c:pt>
                <c:pt idx="3">
                  <c:v>West</c:v>
                </c:pt>
              </c:strCache>
            </c:strRef>
          </c:cat>
          <c:val>
            <c:numRef>
              <c:f>Sheet2!$O$2:$O$6</c:f>
              <c:numCache>
                <c:formatCode>General</c:formatCode>
                <c:ptCount val="4"/>
                <c:pt idx="0">
                  <c:v>137</c:v>
                </c:pt>
                <c:pt idx="1">
                  <c:v>200</c:v>
                </c:pt>
                <c:pt idx="2">
                  <c:v>101</c:v>
                </c:pt>
                <c:pt idx="3">
                  <c:v>127</c:v>
                </c:pt>
              </c:numCache>
            </c:numRef>
          </c:val>
          <c:extLst>
            <c:ext xmlns:c16="http://schemas.microsoft.com/office/drawing/2014/chart" uri="{C3380CC4-5D6E-409C-BE32-E72D297353CC}">
              <c16:uniqueId val="{00000008-31FA-49AE-BE7C-D4A51BB19349}"/>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E99"/>
    </a:solidFill>
    <a:ln w="9525" cap="flat" cmpd="sng" algn="ctr">
      <a:solidFill>
        <a:srgbClr val="FFCE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 After format 1.xlsx]Sheet2!Total sales  per sales rep</c:name>
    <c:fmtId val="24"/>
  </c:pivotSource>
  <c:chart>
    <c:title>
      <c:tx>
        <c:rich>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r>
              <a:rPr lang="en-US" b="1" i="1">
                <a:solidFill>
                  <a:schemeClr val="tx1"/>
                </a:solidFill>
              </a:rPr>
              <a:t>Total</a:t>
            </a:r>
            <a:r>
              <a:rPr lang="en-US" b="1" i="1" baseline="0">
                <a:solidFill>
                  <a:schemeClr val="tx1"/>
                </a:solidFill>
              </a:rPr>
              <a:t> sales  per sales rep</a:t>
            </a:r>
            <a:endParaRPr lang="en-US" b="1" i="1">
              <a:solidFill>
                <a:schemeClr val="tx1"/>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solidFill>
            <a:srgbClr val="744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Sheet2!$AC$1</c:f>
              <c:strCache>
                <c:ptCount val="1"/>
                <c:pt idx="0">
                  <c:v>Total</c:v>
                </c:pt>
              </c:strCache>
            </c:strRef>
          </c:tx>
          <c:spPr>
            <a:solidFill>
              <a:srgbClr val="744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Sheet2!$AB$2:$AB$10</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Sheet2!$AC$2:$AC$10</c:f>
              <c:numCache>
                <c:formatCode>[&gt;=1000000]0.##,,"M";[&gt;=1000]0.#,"K";0</c:formatCode>
                <c:ptCount val="8"/>
                <c:pt idx="0">
                  <c:v>9750</c:v>
                </c:pt>
                <c:pt idx="1">
                  <c:v>20800</c:v>
                </c:pt>
                <c:pt idx="2">
                  <c:v>53680</c:v>
                </c:pt>
                <c:pt idx="3">
                  <c:v>38175</c:v>
                </c:pt>
                <c:pt idx="4">
                  <c:v>34065</c:v>
                </c:pt>
                <c:pt idx="5">
                  <c:v>36550</c:v>
                </c:pt>
                <c:pt idx="6">
                  <c:v>33915</c:v>
                </c:pt>
                <c:pt idx="7">
                  <c:v>25290</c:v>
                </c:pt>
              </c:numCache>
            </c:numRef>
          </c:val>
          <c:extLst>
            <c:ext xmlns:c16="http://schemas.microsoft.com/office/drawing/2014/chart" uri="{C3380CC4-5D6E-409C-BE32-E72D297353CC}">
              <c16:uniqueId val="{00000000-BB18-4EF4-AA70-AD587448E150}"/>
            </c:ext>
          </c:extLst>
        </c:ser>
        <c:dLbls>
          <c:dLblPos val="outEnd"/>
          <c:showLegendKey val="0"/>
          <c:showVal val="1"/>
          <c:showCatName val="0"/>
          <c:showSerName val="0"/>
          <c:showPercent val="0"/>
          <c:showBubbleSize val="0"/>
        </c:dLbls>
        <c:gapWidth val="219"/>
        <c:overlap val="-27"/>
        <c:axId val="639335512"/>
        <c:axId val="639339112"/>
      </c:barChart>
      <c:catAx>
        <c:axId val="63933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9339112"/>
        <c:crosses val="autoZero"/>
        <c:auto val="1"/>
        <c:lblAlgn val="ctr"/>
        <c:lblOffset val="100"/>
        <c:noMultiLvlLbl val="0"/>
      </c:catAx>
      <c:valAx>
        <c:axId val="639339112"/>
        <c:scaling>
          <c:orientation val="minMax"/>
        </c:scaling>
        <c:delete val="1"/>
        <c:axPos val="l"/>
        <c:numFmt formatCode="[&gt;=1000000]0.##,,&quot;M&quot;;[&gt;=1000]0.#,&quot;K&quot;;0" sourceLinked="1"/>
        <c:majorTickMark val="none"/>
        <c:minorTickMark val="none"/>
        <c:tickLblPos val="nextTo"/>
        <c:crossAx val="639335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E99"/>
    </a:solidFill>
    <a:ln w="9525" cap="flat" cmpd="sng" algn="ctr">
      <a:solidFill>
        <a:schemeClr val="tx1"/>
      </a:solidFill>
      <a:round/>
    </a:ln>
    <a:effectLst/>
    <a:scene3d>
      <a:camera prst="orthographicFront"/>
      <a:lightRig rig="threePt" dir="t"/>
    </a:scene3d>
    <a:sp3d>
      <a:bevelT w="635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 After format 1.xlsx]Sheet2!Sum of Q per Date for each sales rep</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u="none" strike="noStrike" kern="1200" spc="0" baseline="0">
                <a:solidFill>
                  <a:schemeClr val="tx1"/>
                </a:solidFill>
              </a:rPr>
              <a:t>Sum of Q per Date for each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62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Sheet2!$AO$3</c:f>
              <c:strCache>
                <c:ptCount val="1"/>
                <c:pt idx="0">
                  <c:v>Total</c:v>
                </c:pt>
              </c:strCache>
            </c:strRef>
          </c:tx>
          <c:spPr>
            <a:solidFill>
              <a:srgbClr val="562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Sheet2!$AM$4:$AN$11</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Sheet2!$AO$4:$AO$11</c:f>
              <c:numCache>
                <c:formatCode>General</c:formatCode>
                <c:ptCount val="8"/>
                <c:pt idx="0">
                  <c:v>13</c:v>
                </c:pt>
                <c:pt idx="1">
                  <c:v>9</c:v>
                </c:pt>
                <c:pt idx="2">
                  <c:v>70</c:v>
                </c:pt>
                <c:pt idx="3">
                  <c:v>40</c:v>
                </c:pt>
                <c:pt idx="4">
                  <c:v>25</c:v>
                </c:pt>
                <c:pt idx="5">
                  <c:v>52</c:v>
                </c:pt>
                <c:pt idx="6">
                  <c:v>39</c:v>
                </c:pt>
                <c:pt idx="7">
                  <c:v>16</c:v>
                </c:pt>
              </c:numCache>
            </c:numRef>
          </c:val>
          <c:extLst>
            <c:ext xmlns:c16="http://schemas.microsoft.com/office/drawing/2014/chart" uri="{C3380CC4-5D6E-409C-BE32-E72D297353CC}">
              <c16:uniqueId val="{00000004-930A-4431-98A7-716A15BB0E95}"/>
            </c:ext>
          </c:extLst>
        </c:ser>
        <c:dLbls>
          <c:dLblPos val="outEnd"/>
          <c:showLegendKey val="0"/>
          <c:showVal val="1"/>
          <c:showCatName val="0"/>
          <c:showSerName val="0"/>
          <c:showPercent val="0"/>
          <c:showBubbleSize val="0"/>
        </c:dLbls>
        <c:gapWidth val="219"/>
        <c:overlap val="-27"/>
        <c:axId val="517224408"/>
        <c:axId val="517222968"/>
      </c:barChart>
      <c:catAx>
        <c:axId val="51722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7222968"/>
        <c:crosses val="autoZero"/>
        <c:auto val="1"/>
        <c:lblAlgn val="ctr"/>
        <c:lblOffset val="100"/>
        <c:noMultiLvlLbl val="0"/>
      </c:catAx>
      <c:valAx>
        <c:axId val="517222968"/>
        <c:scaling>
          <c:orientation val="minMax"/>
        </c:scaling>
        <c:delete val="1"/>
        <c:axPos val="l"/>
        <c:numFmt formatCode="General" sourceLinked="1"/>
        <c:majorTickMark val="none"/>
        <c:minorTickMark val="none"/>
        <c:tickLblPos val="nextTo"/>
        <c:crossAx val="517224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E99"/>
    </a:solidFill>
    <a:ln w="9525" cap="flat" cmpd="sng" algn="ctr">
      <a:solidFill>
        <a:schemeClr val="tx1">
          <a:lumMod val="95000"/>
          <a:lumOff val="5000"/>
        </a:schemeClr>
      </a:solidFill>
      <a:round/>
    </a:ln>
    <a:effectLst/>
    <a:scene3d>
      <a:camera prst="orthographicFront"/>
      <a:lightRig rig="threePt" dir="t"/>
    </a:scene3d>
    <a:sp3d>
      <a:bevelT w="635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 After format 1.xlsx]Sheet2!Sum of Q per Date for each sales rep</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rPr>
              <a:t>Sum</a:t>
            </a:r>
            <a:r>
              <a:rPr lang="en-US" b="1" i="1" baseline="0">
                <a:solidFill>
                  <a:schemeClr val="tx1"/>
                </a:solidFill>
              </a:rPr>
              <a:t> of Q per Date for each sales rep</a:t>
            </a:r>
            <a:endParaRPr lang="en-US"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562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Sheet2!$AO$3</c:f>
              <c:strCache>
                <c:ptCount val="1"/>
                <c:pt idx="0">
                  <c:v>Total</c:v>
                </c:pt>
              </c:strCache>
            </c:strRef>
          </c:tx>
          <c:spPr>
            <a:ln w="28575" cap="rnd">
              <a:solidFill>
                <a:srgbClr val="562F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Sheet2!$AM$4:$AN$11</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Sheet2!$AO$4:$AO$11</c:f>
              <c:numCache>
                <c:formatCode>General</c:formatCode>
                <c:ptCount val="8"/>
                <c:pt idx="0">
                  <c:v>13</c:v>
                </c:pt>
                <c:pt idx="1">
                  <c:v>9</c:v>
                </c:pt>
                <c:pt idx="2">
                  <c:v>70</c:v>
                </c:pt>
                <c:pt idx="3">
                  <c:v>40</c:v>
                </c:pt>
                <c:pt idx="4">
                  <c:v>25</c:v>
                </c:pt>
                <c:pt idx="5">
                  <c:v>52</c:v>
                </c:pt>
                <c:pt idx="6">
                  <c:v>39</c:v>
                </c:pt>
                <c:pt idx="7">
                  <c:v>16</c:v>
                </c:pt>
              </c:numCache>
            </c:numRef>
          </c:val>
          <c:smooth val="0"/>
          <c:extLst>
            <c:ext xmlns:c16="http://schemas.microsoft.com/office/drawing/2014/chart" uri="{C3380CC4-5D6E-409C-BE32-E72D297353CC}">
              <c16:uniqueId val="{00000008-602D-4333-A962-7F3DE2E773A2}"/>
            </c:ext>
          </c:extLst>
        </c:ser>
        <c:dLbls>
          <c:dLblPos val="t"/>
          <c:showLegendKey val="0"/>
          <c:showVal val="1"/>
          <c:showCatName val="0"/>
          <c:showSerName val="0"/>
          <c:showPercent val="0"/>
          <c:showBubbleSize val="0"/>
        </c:dLbls>
        <c:smooth val="0"/>
        <c:axId val="660513184"/>
        <c:axId val="660513544"/>
      </c:lineChart>
      <c:catAx>
        <c:axId val="660513184"/>
        <c:scaling>
          <c:orientation val="minMax"/>
        </c:scaling>
        <c:delete val="0"/>
        <c:axPos val="b"/>
        <c:numFmt formatCode="General" sourceLinked="1"/>
        <c:majorTickMark val="out"/>
        <c:minorTickMark val="none"/>
        <c:tickLblPos val="nextTo"/>
        <c:spPr>
          <a:solidFill>
            <a:srgbClr val="FFCE99"/>
          </a:solidFill>
          <a:ln w="9525" cap="flat" cmpd="sng" algn="ctr">
            <a:solidFill>
              <a:srgbClr val="FFCE99"/>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0513544"/>
        <c:crosses val="autoZero"/>
        <c:auto val="1"/>
        <c:lblAlgn val="ctr"/>
        <c:lblOffset val="100"/>
        <c:noMultiLvlLbl val="0"/>
      </c:catAx>
      <c:valAx>
        <c:axId val="660513544"/>
        <c:scaling>
          <c:orientation val="minMax"/>
        </c:scaling>
        <c:delete val="1"/>
        <c:axPos val="l"/>
        <c:numFmt formatCode="General" sourceLinked="1"/>
        <c:majorTickMark val="out"/>
        <c:minorTickMark val="none"/>
        <c:tickLblPos val="nextTo"/>
        <c:crossAx val="66051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E99"/>
    </a:solidFill>
    <a:ln w="9525" cap="flat" cmpd="sng" algn="ctr">
      <a:solidFill>
        <a:schemeClr val="tx1">
          <a:lumMod val="95000"/>
          <a:lumOff val="5000"/>
        </a:schemeClr>
      </a:solidFill>
      <a:round/>
    </a:ln>
    <a:effectLst/>
    <a:scene3d>
      <a:camera prst="orthographicFront"/>
      <a:lightRig rig="threePt" dir="t"/>
    </a:scene3d>
    <a:sp3d>
      <a:bevelT w="63500" h="63500"/>
      <a:bevelB w="63500" h="635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 After format 1.xlsx]Sheet2!Quantity  per category</c:name>
    <c:fmtId val="3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Quantity</a:t>
            </a:r>
            <a:r>
              <a:rPr lang="en-US" b="1" baseline="0">
                <a:solidFill>
                  <a:schemeClr val="tx1"/>
                </a:solidFill>
              </a:rPr>
              <a:t>  per category</a:t>
            </a:r>
            <a:endParaRPr lang="en-US" b="1">
              <a:solidFill>
                <a:schemeClr val="tx1"/>
              </a:solidFill>
            </a:endParaRPr>
          </a:p>
        </c:rich>
      </c:tx>
      <c:layout>
        <c:manualLayout>
          <c:xMode val="edge"/>
          <c:yMode val="edge"/>
          <c:x val="0.2716785215162207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1413612565445025E-2"/>
              <c:y val="-5.5096418732782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6.8062827225130892E-2"/>
              <c:y val="-4.9586776859504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1.570680628272245E-2"/>
              <c:y val="1.380013448732033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905759162303663"/>
                  <c:h val="0.20085898353614889"/>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3.1413612565445025E-2"/>
              <c:y val="-5.5096418732782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570680628272245E-2"/>
              <c:y val="1.380013448732033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905759162303663"/>
                  <c:h val="0.20085898353614889"/>
                </c:manualLayout>
              </c15:layout>
            </c:ext>
          </c:extLst>
        </c:dLbl>
      </c:pivotFmt>
      <c:pivotFmt>
        <c:idx val="7"/>
        <c:spPr>
          <a:solidFill>
            <a:schemeClr val="accent1"/>
          </a:solidFill>
          <a:ln w="19050">
            <a:solidFill>
              <a:schemeClr val="lt1"/>
            </a:solidFill>
          </a:ln>
          <a:effectLst/>
        </c:spPr>
        <c:dLbl>
          <c:idx val="0"/>
          <c:layout>
            <c:manualLayout>
              <c:x val="-6.8062827225130892E-2"/>
              <c:y val="-4.9586776859504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1413612565445025E-2"/>
              <c:y val="-5.50964187327823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1.570680628272245E-2"/>
              <c:y val="1.380013448732033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905759162303663"/>
                  <c:h val="0.20085898353614889"/>
                </c:manualLayout>
              </c15:layout>
            </c:ext>
          </c:extLst>
        </c:dLbl>
      </c:pivotFmt>
      <c:pivotFmt>
        <c:idx val="11"/>
        <c:spPr>
          <a:solidFill>
            <a:schemeClr val="accent1"/>
          </a:solidFill>
          <a:ln w="19050">
            <a:solidFill>
              <a:schemeClr val="lt1"/>
            </a:solidFill>
          </a:ln>
          <a:effectLst/>
        </c:spPr>
        <c:dLbl>
          <c:idx val="0"/>
          <c:layout>
            <c:manualLayout>
              <c:x val="-6.8062827225130892E-2"/>
              <c:y val="-4.95867768595041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3.1413612565445025E-2"/>
              <c:y val="-5.50964187327823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1.570680628272245E-2"/>
              <c:y val="1.380013448732033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905759162303663"/>
                  <c:h val="0.20085898353614889"/>
                </c:manualLayout>
              </c15:layout>
            </c:ext>
          </c:extLst>
        </c:dLbl>
      </c:pivotFmt>
      <c:pivotFmt>
        <c:idx val="15"/>
        <c:spPr>
          <a:solidFill>
            <a:schemeClr val="accent1"/>
          </a:solidFill>
          <a:ln w="19050">
            <a:solidFill>
              <a:schemeClr val="lt1"/>
            </a:solidFill>
          </a:ln>
          <a:effectLst/>
        </c:spPr>
        <c:dLbl>
          <c:idx val="0"/>
          <c:layout>
            <c:manualLayout>
              <c:x val="-6.8062827225130892E-2"/>
              <c:y val="-4.95867768595041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956833857185527"/>
              <c:y val="-0.24967472840275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26698985173614215"/>
              <c:y val="8.842831425248001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905759162303663"/>
                  <c:h val="0.20085898353614889"/>
                </c:manualLayout>
              </c15:layout>
            </c:ext>
          </c:extLst>
        </c:dLbl>
      </c:pivotFmt>
      <c:pivotFmt>
        <c:idx val="19"/>
        <c:spPr>
          <a:solidFill>
            <a:schemeClr val="accent1"/>
          </a:solidFill>
          <a:ln w="19050">
            <a:solidFill>
              <a:schemeClr val="lt1"/>
            </a:solidFill>
          </a:ln>
          <a:effectLst/>
        </c:spPr>
        <c:dLbl>
          <c:idx val="0"/>
          <c:layout>
            <c:manualLayout>
              <c:x val="-0.1788494262592682"/>
              <c:y val="-0.187839861948565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Sheet2!$AX$1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18-430F-8847-A8B4490126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18-430F-8847-A8B4490126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18-430F-8847-A8B4490126AA}"/>
              </c:ext>
            </c:extLst>
          </c:dPt>
          <c:dLbls>
            <c:dLbl>
              <c:idx val="0"/>
              <c:layout>
                <c:manualLayout>
                  <c:x val="0.1956833857185527"/>
                  <c:y val="-0.2496747284027522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318-430F-8847-A8B4490126AA}"/>
                </c:ext>
              </c:extLst>
            </c:dLbl>
            <c:dLbl>
              <c:idx val="1"/>
              <c:layout>
                <c:manualLayout>
                  <c:x val="-0.26698985173614215"/>
                  <c:y val="8.842831425248001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905759162303663"/>
                      <c:h val="0.20085898353614889"/>
                    </c:manualLayout>
                  </c15:layout>
                </c:ext>
                <c:ext xmlns:c16="http://schemas.microsoft.com/office/drawing/2014/chart" uri="{C3380CC4-5D6E-409C-BE32-E72D297353CC}">
                  <c16:uniqueId val="{00000003-B318-430F-8847-A8B4490126AA}"/>
                </c:ext>
              </c:extLst>
            </c:dLbl>
            <c:dLbl>
              <c:idx val="2"/>
              <c:layout>
                <c:manualLayout>
                  <c:x val="-0.1788494262592682"/>
                  <c:y val="-0.187839861948565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318-430F-8847-A8B4490126A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Sheet2!$AW$2:$AW$4</c:f>
              <c:strCache>
                <c:ptCount val="3"/>
                <c:pt idx="0">
                  <c:v>Accessories</c:v>
                </c:pt>
                <c:pt idx="1">
                  <c:v>Electronics</c:v>
                </c:pt>
                <c:pt idx="2">
                  <c:v>Furniture</c:v>
                </c:pt>
              </c:strCache>
            </c:strRef>
          </c:cat>
          <c:val>
            <c:numRef>
              <c:f>Sheet2!$AX$2:$AX$4</c:f>
              <c:numCache>
                <c:formatCode>General</c:formatCode>
                <c:ptCount val="3"/>
                <c:pt idx="0">
                  <c:v>159</c:v>
                </c:pt>
                <c:pt idx="1">
                  <c:v>253</c:v>
                </c:pt>
                <c:pt idx="2">
                  <c:v>153</c:v>
                </c:pt>
              </c:numCache>
            </c:numRef>
          </c:val>
          <c:extLst>
            <c:ext xmlns:c16="http://schemas.microsoft.com/office/drawing/2014/chart" uri="{C3380CC4-5D6E-409C-BE32-E72D297353CC}">
              <c16:uniqueId val="{00000006-B318-430F-8847-A8B4490126A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E99"/>
    </a:solidFill>
    <a:ln w="9525" cap="flat" cmpd="sng" algn="ctr">
      <a:solidFill>
        <a:srgbClr val="FFCE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 After format 1.xlsx]Sheet2!Sales percentage by date</c:name>
    <c:fmtId val="31"/>
  </c:pivotSource>
  <c:chart>
    <c:title>
      <c:tx>
        <c:rich>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r>
              <a:rPr lang="en-US" sz="1400" b="1" i="1" u="none" strike="noStrike" baseline="0">
                <a:solidFill>
                  <a:schemeClr val="tx1"/>
                </a:solidFill>
                <a:effectLst/>
              </a:rPr>
              <a:t>Sales percentage by date</a:t>
            </a:r>
            <a:endParaRPr lang="en-US" i="1">
              <a:solidFill>
                <a:schemeClr val="tx1"/>
              </a:solidFill>
            </a:endParaRPr>
          </a:p>
        </c:rich>
      </c:tx>
      <c:overlay val="0"/>
      <c:spPr>
        <a:noFill/>
        <a:ln>
          <a:noFill/>
        </a:ln>
        <a:effectLst/>
      </c:spPr>
      <c:txPr>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endParaRPr lang="en-US"/>
        </a:p>
      </c:txPr>
    </c:title>
    <c:autoTitleDeleted val="0"/>
    <c:pivotFmts>
      <c:pivotFmt>
        <c:idx val="0"/>
        <c:spPr>
          <a:solidFill>
            <a:srgbClr val="562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Sheet2!$BJ$1</c:f>
              <c:strCache>
                <c:ptCount val="1"/>
                <c:pt idx="0">
                  <c:v>Total</c:v>
                </c:pt>
              </c:strCache>
            </c:strRef>
          </c:tx>
          <c:spPr>
            <a:solidFill>
              <a:srgbClr val="562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Sheet2!$BI$2:$BI$13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Sheet2!$BJ$2:$BJ$13</c:f>
              <c:numCache>
                <c:formatCode>0.00%</c:formatCode>
                <c:ptCount val="12"/>
                <c:pt idx="0">
                  <c:v>6.8292199425116468E-2</c:v>
                </c:pt>
                <c:pt idx="1">
                  <c:v>0.12449202101298444</c:v>
                </c:pt>
                <c:pt idx="2">
                  <c:v>7.0294380017841218E-2</c:v>
                </c:pt>
                <c:pt idx="3">
                  <c:v>0.14550500545148182</c:v>
                </c:pt>
                <c:pt idx="4">
                  <c:v>6.0759242739617407E-2</c:v>
                </c:pt>
                <c:pt idx="5">
                  <c:v>5.146198830409357E-2</c:v>
                </c:pt>
                <c:pt idx="6">
                  <c:v>9.9712558231737539E-2</c:v>
                </c:pt>
                <c:pt idx="7">
                  <c:v>0.10732480919813658</c:v>
                </c:pt>
                <c:pt idx="8">
                  <c:v>7.2058677767865995E-2</c:v>
                </c:pt>
                <c:pt idx="9">
                  <c:v>5.3939934582218255E-2</c:v>
                </c:pt>
                <c:pt idx="10">
                  <c:v>6.4426603231241941E-2</c:v>
                </c:pt>
                <c:pt idx="11">
                  <c:v>8.1732580037664787E-2</c:v>
                </c:pt>
              </c:numCache>
            </c:numRef>
          </c:val>
          <c:extLst>
            <c:ext xmlns:c16="http://schemas.microsoft.com/office/drawing/2014/chart" uri="{C3380CC4-5D6E-409C-BE32-E72D297353CC}">
              <c16:uniqueId val="{00000000-07A5-4D2A-B4AB-9342D942B38B}"/>
            </c:ext>
          </c:extLst>
        </c:ser>
        <c:dLbls>
          <c:dLblPos val="outEnd"/>
          <c:showLegendKey val="0"/>
          <c:showVal val="1"/>
          <c:showCatName val="0"/>
          <c:showSerName val="0"/>
          <c:showPercent val="0"/>
          <c:showBubbleSize val="0"/>
        </c:dLbls>
        <c:gapWidth val="182"/>
        <c:axId val="732523808"/>
        <c:axId val="732524168"/>
      </c:barChart>
      <c:catAx>
        <c:axId val="73252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32524168"/>
        <c:crosses val="autoZero"/>
        <c:auto val="1"/>
        <c:lblAlgn val="ctr"/>
        <c:lblOffset val="100"/>
        <c:noMultiLvlLbl val="0"/>
      </c:catAx>
      <c:valAx>
        <c:axId val="732524168"/>
        <c:scaling>
          <c:orientation val="minMax"/>
        </c:scaling>
        <c:delete val="1"/>
        <c:axPos val="b"/>
        <c:numFmt formatCode="0.00%" sourceLinked="1"/>
        <c:majorTickMark val="none"/>
        <c:minorTickMark val="none"/>
        <c:tickLblPos val="nextTo"/>
        <c:crossAx val="73252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E99"/>
    </a:solidFill>
    <a:ln w="9525" cap="flat" cmpd="sng" algn="ctr">
      <a:solidFill>
        <a:schemeClr val="tx1">
          <a:lumMod val="15000"/>
          <a:lumOff val="85000"/>
        </a:schemeClr>
      </a:solidFill>
      <a:round/>
    </a:ln>
    <a:effectLst/>
    <a:scene3d>
      <a:camera prst="orthographicFront"/>
      <a:lightRig rig="threePt" dir="t"/>
    </a:scene3d>
    <a:sp3d>
      <a:bevelT w="50800" h="63500"/>
      <a:bevelB w="50800" h="508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 After format 1.xlsx]Sheet2!Sum Of Unit price per region</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Sum</a:t>
            </a:r>
            <a:r>
              <a:rPr lang="en-US" baseline="0">
                <a:solidFill>
                  <a:schemeClr val="tx1"/>
                </a:solidFill>
              </a:rPr>
              <a:t> of Unit price By Region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Sheet2!$CC$1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Sheet2!$CB$2:$CB$6</c:f>
              <c:strCache>
                <c:ptCount val="4"/>
                <c:pt idx="0">
                  <c:v>East</c:v>
                </c:pt>
                <c:pt idx="1">
                  <c:v>North</c:v>
                </c:pt>
                <c:pt idx="2">
                  <c:v>South</c:v>
                </c:pt>
                <c:pt idx="3">
                  <c:v>West</c:v>
                </c:pt>
              </c:strCache>
            </c:strRef>
          </c:cat>
          <c:val>
            <c:numRef>
              <c:f>Sheet2!$CC$2:$CC$6</c:f>
              <c:numCache>
                <c:formatCode>[&gt;=1000000]0.##,,"M";[&gt;=1000]0.#,"K";0</c:formatCode>
                <c:ptCount val="4"/>
                <c:pt idx="0">
                  <c:v>12935</c:v>
                </c:pt>
                <c:pt idx="1">
                  <c:v>14385</c:v>
                </c:pt>
                <c:pt idx="2">
                  <c:v>7030</c:v>
                </c:pt>
                <c:pt idx="3">
                  <c:v>10015</c:v>
                </c:pt>
              </c:numCache>
            </c:numRef>
          </c:val>
          <c:extLst>
            <c:ext xmlns:c16="http://schemas.microsoft.com/office/drawing/2014/chart" uri="{C3380CC4-5D6E-409C-BE32-E72D297353CC}">
              <c16:uniqueId val="{00000000-3510-43D8-8BA6-DFB137A8742B}"/>
            </c:ext>
          </c:extLst>
        </c:ser>
        <c:dLbls>
          <c:dLblPos val="outEnd"/>
          <c:showLegendKey val="0"/>
          <c:showVal val="1"/>
          <c:showCatName val="0"/>
          <c:showSerName val="0"/>
          <c:showPercent val="0"/>
          <c:showBubbleSize val="0"/>
        </c:dLbls>
        <c:gapWidth val="219"/>
        <c:overlap val="-27"/>
        <c:axId val="696302344"/>
        <c:axId val="696303784"/>
      </c:barChart>
      <c:catAx>
        <c:axId val="696302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6303784"/>
        <c:crosses val="autoZero"/>
        <c:auto val="1"/>
        <c:lblAlgn val="ctr"/>
        <c:lblOffset val="100"/>
        <c:noMultiLvlLbl val="0"/>
      </c:catAx>
      <c:valAx>
        <c:axId val="696303784"/>
        <c:scaling>
          <c:orientation val="minMax"/>
        </c:scaling>
        <c:delete val="1"/>
        <c:axPos val="l"/>
        <c:numFmt formatCode="[&gt;=1000000]0.##,,&quot;M&quot;;[&gt;=1000]0.#,&quot;K&quot;;0" sourceLinked="1"/>
        <c:majorTickMark val="none"/>
        <c:minorTickMark val="none"/>
        <c:tickLblPos val="nextTo"/>
        <c:crossAx val="696302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 After format 1.xlsx]Sheet2!PivotTable6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Count</a:t>
            </a:r>
            <a:r>
              <a:rPr lang="en-US" sz="1200" b="1" baseline="0">
                <a:solidFill>
                  <a:schemeClr val="tx1"/>
                </a:solidFill>
              </a:rPr>
              <a:t> of order id,Sum of Unit price and sum of quantity</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Sheet2!$CI$1</c:f>
              <c:strCache>
                <c:ptCount val="1"/>
                <c:pt idx="0">
                  <c:v>Count of Order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Sheet2!$CH$2:$CH$6</c:f>
              <c:strCache>
                <c:ptCount val="4"/>
                <c:pt idx="0">
                  <c:v>East</c:v>
                </c:pt>
                <c:pt idx="1">
                  <c:v>North</c:v>
                </c:pt>
                <c:pt idx="2">
                  <c:v>South</c:v>
                </c:pt>
                <c:pt idx="3">
                  <c:v>West</c:v>
                </c:pt>
              </c:strCache>
            </c:strRef>
          </c:cat>
          <c:val>
            <c:numRef>
              <c:f>Sheet2!$CI$2:$CI$6</c:f>
              <c:numCache>
                <c:formatCode>[&gt;=1000000]0.##,,"M";[&gt;=1000]0.#,"K";0</c:formatCode>
                <c:ptCount val="4"/>
                <c:pt idx="0">
                  <c:v>25</c:v>
                </c:pt>
                <c:pt idx="1">
                  <c:v>35</c:v>
                </c:pt>
                <c:pt idx="2">
                  <c:v>16</c:v>
                </c:pt>
                <c:pt idx="3">
                  <c:v>24</c:v>
                </c:pt>
              </c:numCache>
            </c:numRef>
          </c:val>
          <c:extLst>
            <c:ext xmlns:c16="http://schemas.microsoft.com/office/drawing/2014/chart" uri="{C3380CC4-5D6E-409C-BE32-E72D297353CC}">
              <c16:uniqueId val="{00000000-AB74-495A-9A1C-49065633F8E0}"/>
            </c:ext>
          </c:extLst>
        </c:ser>
        <c:ser>
          <c:idx val="1"/>
          <c:order val="1"/>
          <c:tx>
            <c:strRef>
              <c:f>Sheet2!$CJ$1</c:f>
              <c:strCache>
                <c:ptCount val="1"/>
                <c:pt idx="0">
                  <c:v>Sum of Unit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Sheet2!$CH$2:$CH$6</c:f>
              <c:strCache>
                <c:ptCount val="4"/>
                <c:pt idx="0">
                  <c:v>East</c:v>
                </c:pt>
                <c:pt idx="1">
                  <c:v>North</c:v>
                </c:pt>
                <c:pt idx="2">
                  <c:v>South</c:v>
                </c:pt>
                <c:pt idx="3">
                  <c:v>West</c:v>
                </c:pt>
              </c:strCache>
            </c:strRef>
          </c:cat>
          <c:val>
            <c:numRef>
              <c:f>Sheet2!$CJ$2:$CJ$6</c:f>
              <c:numCache>
                <c:formatCode>[&gt;=1000000]0.##,,"M";[&gt;=1000]0.#,"K";0</c:formatCode>
                <c:ptCount val="4"/>
                <c:pt idx="0">
                  <c:v>12935</c:v>
                </c:pt>
                <c:pt idx="1">
                  <c:v>14385</c:v>
                </c:pt>
                <c:pt idx="2">
                  <c:v>7030</c:v>
                </c:pt>
                <c:pt idx="3">
                  <c:v>10015</c:v>
                </c:pt>
              </c:numCache>
            </c:numRef>
          </c:val>
          <c:extLst>
            <c:ext xmlns:c16="http://schemas.microsoft.com/office/drawing/2014/chart" uri="{C3380CC4-5D6E-409C-BE32-E72D297353CC}">
              <c16:uniqueId val="{00000001-AB74-495A-9A1C-49065633F8E0}"/>
            </c:ext>
          </c:extLst>
        </c:ser>
        <c:ser>
          <c:idx val="2"/>
          <c:order val="2"/>
          <c:tx>
            <c:strRef>
              <c:f>Sheet2!$CK$1</c:f>
              <c:strCache>
                <c:ptCount val="1"/>
                <c:pt idx="0">
                  <c:v>Sum of Quantity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Sheet2!$CH$2:$CH$6</c:f>
              <c:strCache>
                <c:ptCount val="4"/>
                <c:pt idx="0">
                  <c:v>East</c:v>
                </c:pt>
                <c:pt idx="1">
                  <c:v>North</c:v>
                </c:pt>
                <c:pt idx="2">
                  <c:v>South</c:v>
                </c:pt>
                <c:pt idx="3">
                  <c:v>West</c:v>
                </c:pt>
              </c:strCache>
            </c:strRef>
          </c:cat>
          <c:val>
            <c:numRef>
              <c:f>Sheet2!$CK$2:$CK$6</c:f>
              <c:numCache>
                <c:formatCode>[&gt;=1000000]0.##,,"M";[&gt;=1000]0.#,"K";0</c:formatCode>
                <c:ptCount val="4"/>
                <c:pt idx="0">
                  <c:v>137</c:v>
                </c:pt>
                <c:pt idx="1">
                  <c:v>200</c:v>
                </c:pt>
                <c:pt idx="2">
                  <c:v>101</c:v>
                </c:pt>
                <c:pt idx="3">
                  <c:v>127</c:v>
                </c:pt>
              </c:numCache>
            </c:numRef>
          </c:val>
          <c:extLst>
            <c:ext xmlns:c16="http://schemas.microsoft.com/office/drawing/2014/chart" uri="{C3380CC4-5D6E-409C-BE32-E72D297353CC}">
              <c16:uniqueId val="{00000002-AB74-495A-9A1C-49065633F8E0}"/>
            </c:ext>
          </c:extLst>
        </c:ser>
        <c:dLbls>
          <c:dLblPos val="outEnd"/>
          <c:showLegendKey val="0"/>
          <c:showVal val="1"/>
          <c:showCatName val="0"/>
          <c:showSerName val="0"/>
          <c:showPercent val="0"/>
          <c:showBubbleSize val="0"/>
        </c:dLbls>
        <c:gapWidth val="182"/>
        <c:axId val="693299504"/>
        <c:axId val="693302744"/>
      </c:barChart>
      <c:catAx>
        <c:axId val="6932995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302744"/>
        <c:crosses val="autoZero"/>
        <c:auto val="1"/>
        <c:lblAlgn val="ctr"/>
        <c:lblOffset val="100"/>
        <c:noMultiLvlLbl val="0"/>
      </c:catAx>
      <c:valAx>
        <c:axId val="693302744"/>
        <c:scaling>
          <c:logBase val="10"/>
          <c:orientation val="minMax"/>
        </c:scaling>
        <c:delete val="1"/>
        <c:axPos val="b"/>
        <c:numFmt formatCode="[&gt;=1000000]0.##,,&quot;M&quot;;[&gt;=1000]0.#,&quot;K&quot;;0" sourceLinked="1"/>
        <c:majorTickMark val="out"/>
        <c:minorTickMark val="none"/>
        <c:tickLblPos val="nextTo"/>
        <c:crossAx val="693299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 After format 1.xlsx]Sheet2!count of order and total sales prodct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order and total sales per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Sheet2!$CO$1</c:f>
              <c:strCache>
                <c:ptCount val="1"/>
                <c:pt idx="0">
                  <c:v>Count of Order ID</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Sheet2!$CN$2:$CN$12</c:f>
              <c:strCache>
                <c:ptCount val="10"/>
                <c:pt idx="0">
                  <c:v>Chair</c:v>
                </c:pt>
                <c:pt idx="1">
                  <c:v>Desk</c:v>
                </c:pt>
                <c:pt idx="2">
                  <c:v>Headphones</c:v>
                </c:pt>
                <c:pt idx="3">
                  <c:v>Keyboard</c:v>
                </c:pt>
                <c:pt idx="4">
                  <c:v>Laptop</c:v>
                </c:pt>
                <c:pt idx="5">
                  <c:v>Monitor</c:v>
                </c:pt>
                <c:pt idx="6">
                  <c:v>Mouse</c:v>
                </c:pt>
                <c:pt idx="7">
                  <c:v>Phone</c:v>
                </c:pt>
                <c:pt idx="8">
                  <c:v>Printer</c:v>
                </c:pt>
                <c:pt idx="9">
                  <c:v>Tablet</c:v>
                </c:pt>
              </c:strCache>
            </c:strRef>
          </c:cat>
          <c:val>
            <c:numRef>
              <c:f>Sheet2!$CO$2:$CO$12</c:f>
              <c:numCache>
                <c:formatCode>General</c:formatCode>
                <c:ptCount val="10"/>
                <c:pt idx="0">
                  <c:v>14</c:v>
                </c:pt>
                <c:pt idx="1">
                  <c:v>9</c:v>
                </c:pt>
                <c:pt idx="2">
                  <c:v>11</c:v>
                </c:pt>
                <c:pt idx="3">
                  <c:v>8</c:v>
                </c:pt>
                <c:pt idx="4">
                  <c:v>11</c:v>
                </c:pt>
                <c:pt idx="5">
                  <c:v>5</c:v>
                </c:pt>
                <c:pt idx="6">
                  <c:v>11</c:v>
                </c:pt>
                <c:pt idx="7">
                  <c:v>14</c:v>
                </c:pt>
                <c:pt idx="8">
                  <c:v>5</c:v>
                </c:pt>
                <c:pt idx="9">
                  <c:v>12</c:v>
                </c:pt>
              </c:numCache>
            </c:numRef>
          </c:val>
          <c:extLst>
            <c:ext xmlns:c16="http://schemas.microsoft.com/office/drawing/2014/chart" uri="{C3380CC4-5D6E-409C-BE32-E72D297353CC}">
              <c16:uniqueId val="{00000000-8478-42BF-8B1E-C772E03809D6}"/>
            </c:ext>
          </c:extLst>
        </c:ser>
        <c:ser>
          <c:idx val="1"/>
          <c:order val="1"/>
          <c:tx>
            <c:strRef>
              <c:f>Sheet2!$CP$1</c:f>
              <c:strCache>
                <c:ptCount val="1"/>
                <c:pt idx="0">
                  <c:v>Sum of Total Sales</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Sheet2!$CN$2:$CN$12</c:f>
              <c:strCache>
                <c:ptCount val="10"/>
                <c:pt idx="0">
                  <c:v>Chair</c:v>
                </c:pt>
                <c:pt idx="1">
                  <c:v>Desk</c:v>
                </c:pt>
                <c:pt idx="2">
                  <c:v>Headphones</c:v>
                </c:pt>
                <c:pt idx="3">
                  <c:v>Keyboard</c:v>
                </c:pt>
                <c:pt idx="4">
                  <c:v>Laptop</c:v>
                </c:pt>
                <c:pt idx="5">
                  <c:v>Monitor</c:v>
                </c:pt>
                <c:pt idx="6">
                  <c:v>Mouse</c:v>
                </c:pt>
                <c:pt idx="7">
                  <c:v>Phone</c:v>
                </c:pt>
                <c:pt idx="8">
                  <c:v>Printer</c:v>
                </c:pt>
                <c:pt idx="9">
                  <c:v>Tablet</c:v>
                </c:pt>
              </c:strCache>
            </c:strRef>
          </c:cat>
          <c:val>
            <c:numRef>
              <c:f>Sheet2!$CP$2:$CP$12</c:f>
              <c:numCache>
                <c:formatCode>0.00%</c:formatCode>
                <c:ptCount val="10"/>
                <c:pt idx="0">
                  <c:v>0.13598969174348299</c:v>
                </c:pt>
                <c:pt idx="1">
                  <c:v>0.10902963623748638</c:v>
                </c:pt>
                <c:pt idx="2">
                  <c:v>3.2352066607195959E-2</c:v>
                </c:pt>
                <c:pt idx="3">
                  <c:v>1.0110020814748736E-2</c:v>
                </c:pt>
                <c:pt idx="4">
                  <c:v>0.28545941123996432</c:v>
                </c:pt>
                <c:pt idx="5">
                  <c:v>2.9735355337496282E-2</c:v>
                </c:pt>
                <c:pt idx="6">
                  <c:v>1.0169491525423728E-2</c:v>
                </c:pt>
                <c:pt idx="7">
                  <c:v>0.23788284269997026</c:v>
                </c:pt>
                <c:pt idx="8">
                  <c:v>2.0814748736247397E-2</c:v>
                </c:pt>
                <c:pt idx="9">
                  <c:v>0.12845673505798394</c:v>
                </c:pt>
              </c:numCache>
            </c:numRef>
          </c:val>
          <c:extLst>
            <c:ext xmlns:c16="http://schemas.microsoft.com/office/drawing/2014/chart" uri="{C3380CC4-5D6E-409C-BE32-E72D297353CC}">
              <c16:uniqueId val="{00000001-8478-42BF-8B1E-C772E03809D6}"/>
            </c:ext>
          </c:extLst>
        </c:ser>
        <c:dLbls>
          <c:showLegendKey val="0"/>
          <c:showVal val="0"/>
          <c:showCatName val="0"/>
          <c:showSerName val="0"/>
          <c:showPercent val="0"/>
          <c:showBubbleSize val="0"/>
        </c:dLbls>
        <c:gapWidth val="135"/>
        <c:axId val="711655296"/>
        <c:axId val="711655656"/>
      </c:barChart>
      <c:catAx>
        <c:axId val="711655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1655656"/>
        <c:crosses val="autoZero"/>
        <c:auto val="1"/>
        <c:lblAlgn val="ctr"/>
        <c:lblOffset val="100"/>
        <c:noMultiLvlLbl val="0"/>
      </c:catAx>
      <c:valAx>
        <c:axId val="711655656"/>
        <c:scaling>
          <c:orientation val="minMax"/>
        </c:scaling>
        <c:delete val="1"/>
        <c:axPos val="l"/>
        <c:numFmt formatCode="General" sourceLinked="1"/>
        <c:majorTickMark val="out"/>
        <c:minorTickMark val="none"/>
        <c:tickLblPos val="nextTo"/>
        <c:crossAx val="711655296"/>
        <c:crosses val="autoZero"/>
        <c:crossBetween val="between"/>
      </c:valAx>
      <c:spPr>
        <a:noFill/>
        <a:ln>
          <a:noFill/>
        </a:ln>
        <a:effectLst/>
      </c:spPr>
    </c:plotArea>
    <c:legend>
      <c:legendPos val="t"/>
      <c:layout>
        <c:manualLayout>
          <c:xMode val="edge"/>
          <c:yMode val="edge"/>
          <c:x val="0.2757591161158448"/>
          <c:y val="9.9272550382209862E-2"/>
          <c:w val="0.43458545947276361"/>
          <c:h val="7.6264283495287979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[pivot table - After format 1.xlsx]Sheet2!PivotTable14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19339468767608E-2"/>
          <c:y val="6.4814814814814811E-2"/>
          <c:w val="0.72478069611806917"/>
          <c:h val="0.84204505686789155"/>
        </c:manualLayout>
      </c:layout>
      <c:barChart>
        <c:barDir val="col"/>
        <c:grouping val="clustered"/>
        <c:varyColors val="0"/>
        <c:ser>
          <c:idx val="0"/>
          <c:order val="0"/>
          <c:tx>
            <c:strRef>
              <c:f>Sheet2!$BV$44</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Sheet2!$BU$45:$BU$49</c:f>
              <c:strCache>
                <c:ptCount val="4"/>
                <c:pt idx="0">
                  <c:v>East</c:v>
                </c:pt>
                <c:pt idx="1">
                  <c:v>North</c:v>
                </c:pt>
                <c:pt idx="2">
                  <c:v>South</c:v>
                </c:pt>
                <c:pt idx="3">
                  <c:v>West</c:v>
                </c:pt>
              </c:strCache>
            </c:strRef>
          </c:cat>
          <c:val>
            <c:numRef>
              <c:f>Sheet2!$BV$45:$BV$49</c:f>
              <c:numCache>
                <c:formatCode>General</c:formatCode>
                <c:ptCount val="4"/>
                <c:pt idx="0">
                  <c:v>74480</c:v>
                </c:pt>
                <c:pt idx="1">
                  <c:v>72090</c:v>
                </c:pt>
                <c:pt idx="2">
                  <c:v>46300</c:v>
                </c:pt>
                <c:pt idx="3">
                  <c:v>59355</c:v>
                </c:pt>
              </c:numCache>
            </c:numRef>
          </c:val>
          <c:extLst>
            <c:ext xmlns:c16="http://schemas.microsoft.com/office/drawing/2014/chart" uri="{C3380CC4-5D6E-409C-BE32-E72D297353CC}">
              <c16:uniqueId val="{00000000-BC89-4B09-96AC-C0EADDC5AF39}"/>
            </c:ext>
          </c:extLst>
        </c:ser>
        <c:dLbls>
          <c:dLblPos val="outEnd"/>
          <c:showLegendKey val="0"/>
          <c:showVal val="1"/>
          <c:showCatName val="0"/>
          <c:showSerName val="0"/>
          <c:showPercent val="0"/>
          <c:showBubbleSize val="0"/>
        </c:dLbls>
        <c:gapWidth val="219"/>
        <c:overlap val="-27"/>
        <c:axId val="711670776"/>
        <c:axId val="711671496"/>
      </c:barChart>
      <c:catAx>
        <c:axId val="711670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671496"/>
        <c:crosses val="autoZero"/>
        <c:auto val="1"/>
        <c:lblAlgn val="ctr"/>
        <c:lblOffset val="100"/>
        <c:noMultiLvlLbl val="0"/>
      </c:catAx>
      <c:valAx>
        <c:axId val="711671496"/>
        <c:scaling>
          <c:orientation val="minMax"/>
        </c:scaling>
        <c:delete val="1"/>
        <c:axPos val="l"/>
        <c:numFmt formatCode="General" sourceLinked="1"/>
        <c:majorTickMark val="none"/>
        <c:minorTickMark val="none"/>
        <c:tickLblPos val="nextTo"/>
        <c:crossAx val="711670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[pivot table - After format 1.xlsx]Sheet2!Ava Per RE</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1">
                <a:solidFill>
                  <a:schemeClr val="tx1"/>
                </a:solidFill>
              </a:rPr>
              <a:t>Avarage</a:t>
            </a:r>
            <a:r>
              <a:rPr lang="en-US" sz="1200" b="1" i="1" baseline="0">
                <a:solidFill>
                  <a:schemeClr val="tx1"/>
                </a:solidFill>
              </a:rPr>
              <a:t> Sales per Region</a:t>
            </a:r>
            <a:endParaRPr lang="en-US" sz="1200" b="1" i="1">
              <a:solidFill>
                <a:schemeClr val="tx1"/>
              </a:solidFill>
            </a:endParaRPr>
          </a:p>
        </c:rich>
      </c:tx>
      <c:layout>
        <c:manualLayout>
          <c:xMode val="edge"/>
          <c:yMode val="edge"/>
          <c:x val="0.137061175045427"/>
          <c:y val="3.60360360360360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6330798908016145"/>
              <c:y val="-0.186125990640516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0.14406876790830947"/>
              <c:y val="-0.122201905326746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16208379396701489"/>
              <c:y val="4.19440797789382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0.19646774812174267"/>
              <c:y val="8.26780482211868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6330798908016145"/>
              <c:y val="-0.186125990640516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9646774812174267"/>
              <c:y val="8.26780482211868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6208379396701489"/>
              <c:y val="4.19440797789382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4406876790830947"/>
              <c:y val="-0.122201905326746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0.16330798908016145"/>
              <c:y val="-0.186125990640516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dLbl>
          <c:idx val="0"/>
          <c:layout>
            <c:manualLayout>
              <c:x val="0.19646774812174267"/>
              <c:y val="8.26780482211868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0.22977589339794063"/>
              <c:y val="0.1080102149393488"/>
            </c:manualLayout>
          </c:layout>
          <c:spPr>
            <a:noFill/>
            <a:ln>
              <a:solidFill>
                <a:srgbClr val="00B7B5"/>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0.14406876790830947"/>
              <c:y val="-0.122201905326746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dLbl>
          <c:idx val="0"/>
          <c:layout>
            <c:manualLayout>
              <c:x val="0.16330798908016145"/>
              <c:y val="-0.186125990640516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dLbl>
          <c:idx val="0"/>
          <c:layout>
            <c:manualLayout>
              <c:x val="0.19646774812174267"/>
              <c:y val="8.26780482211868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dLbl>
          <c:idx val="0"/>
          <c:layout>
            <c:manualLayout>
              <c:x val="-0.22977589339794063"/>
              <c:y val="0.1080102149393488"/>
            </c:manualLayout>
          </c:layout>
          <c:spPr>
            <a:noFill/>
            <a:ln>
              <a:solidFill>
                <a:srgbClr val="00B7B5"/>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6"/>
          </a:solidFill>
          <a:ln w="19050">
            <a:solidFill>
              <a:schemeClr val="lt1"/>
            </a:solidFill>
          </a:ln>
          <a:effectLst/>
        </c:spPr>
        <c:dLbl>
          <c:idx val="0"/>
          <c:layout>
            <c:manualLayout>
              <c:x val="-0.14406876790830947"/>
              <c:y val="-0.122201905326746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6"/>
          </a:solidFill>
          <a:ln w="19050">
            <a:solidFill>
              <a:schemeClr val="lt1"/>
            </a:solidFill>
          </a:ln>
          <a:effectLst/>
        </c:spPr>
        <c:dLbl>
          <c:idx val="0"/>
          <c:layout>
            <c:manualLayout>
              <c:x val="0.16330798908016145"/>
              <c:y val="-0.18612599064051638"/>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6"/>
          </a:solidFill>
          <a:ln w="19050">
            <a:solidFill>
              <a:schemeClr val="lt1"/>
            </a:solidFill>
          </a:ln>
          <a:effectLst/>
        </c:spPr>
        <c:dLbl>
          <c:idx val="0"/>
          <c:layout>
            <c:manualLayout>
              <c:x val="0.19646774812174267"/>
              <c:y val="8.267804822118687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dLbl>
          <c:idx val="0"/>
          <c:layout>
            <c:manualLayout>
              <c:x val="-0.22977589339794063"/>
              <c:y val="0.1080102149393488"/>
            </c:manualLayout>
          </c:layout>
          <c:spPr>
            <a:solidFill>
              <a:schemeClr val="bg1"/>
            </a:solidFill>
            <a:ln>
              <a:solidFill>
                <a:srgbClr val="FDFAF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6"/>
          </a:solidFill>
          <a:ln w="19050">
            <a:solidFill>
              <a:schemeClr val="lt1"/>
            </a:solidFill>
          </a:ln>
          <a:effectLst/>
        </c:spPr>
        <c:dLbl>
          <c:idx val="0"/>
          <c:layout>
            <c:manualLayout>
              <c:x val="-0.14406876790830947"/>
              <c:y val="-0.1222019053267461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6"/>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6"/>
          </a:solidFill>
          <a:ln w="19050">
            <a:solidFill>
              <a:schemeClr val="lt1"/>
            </a:solidFill>
          </a:ln>
          <a:effectLst/>
        </c:spPr>
        <c:dLbl>
          <c:idx val="0"/>
          <c:layout>
            <c:manualLayout>
              <c:x val="-0.22977589339794063"/>
              <c:y val="0.1080102149393488"/>
            </c:manualLayout>
          </c:layout>
          <c:spPr>
            <a:solidFill>
              <a:schemeClr val="bg1"/>
            </a:solidFill>
            <a:ln>
              <a:solidFill>
                <a:srgbClr val="FDFAF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6"/>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6">
              <a:tint val="86000"/>
            </a:schemeClr>
          </a:solidFill>
          <a:ln w="19050">
            <a:solidFill>
              <a:schemeClr val="lt1"/>
            </a:solidFill>
          </a:ln>
          <a:effectLst/>
        </c:spPr>
        <c:dLbl>
          <c:idx val="0"/>
          <c:layout>
            <c:manualLayout>
              <c:x val="-0.22977589339794063"/>
              <c:y val="0.1080102149393488"/>
            </c:manualLayout>
          </c:layout>
          <c:spPr>
            <a:solidFill>
              <a:schemeClr val="bg1"/>
            </a:solidFill>
            <a:ln>
              <a:solidFill>
                <a:srgbClr val="FDFAF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6">
              <a:shade val="58000"/>
            </a:schemeClr>
          </a:solidFill>
          <a:ln w="19050">
            <a:solidFill>
              <a:schemeClr val="lt1"/>
            </a:solidFill>
          </a:ln>
          <a:effectLst/>
        </c:spPr>
      </c:pivotFmt>
      <c:pivotFmt>
        <c:idx val="30"/>
        <c:spPr>
          <a:solidFill>
            <a:schemeClr val="accent6">
              <a:shade val="86000"/>
            </a:schemeClr>
          </a:solidFill>
          <a:ln w="19050">
            <a:solidFill>
              <a:schemeClr val="lt1"/>
            </a:solidFill>
          </a:ln>
          <a:effectLst/>
        </c:spPr>
      </c:pivotFmt>
      <c:pivotFmt>
        <c:idx val="31"/>
        <c:spPr>
          <a:solidFill>
            <a:schemeClr val="accent6">
              <a:tint val="58000"/>
            </a:schemeClr>
          </a:solidFill>
          <a:ln w="19050">
            <a:solidFill>
              <a:schemeClr val="lt1"/>
            </a:solidFill>
          </a:ln>
          <a:effectLst/>
        </c:spPr>
      </c:pivotFmt>
    </c:pivotFmts>
    <c:plotArea>
      <c:layout>
        <c:manualLayout>
          <c:layoutTarget val="inner"/>
          <c:xMode val="edge"/>
          <c:yMode val="edge"/>
          <c:x val="0.18309630526953363"/>
          <c:y val="0.24971837979711994"/>
          <c:w val="0.63380787401574801"/>
          <c:h val="0.61858125842377809"/>
        </c:manualLayout>
      </c:layout>
      <c:doughnutChart>
        <c:varyColors val="1"/>
        <c:ser>
          <c:idx val="0"/>
          <c:order val="0"/>
          <c:tx>
            <c:strRef>
              <c:f>Sheet2!$B$3</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6523-40CC-A021-972C6DAFD857}"/>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1FB9-4017-A193-8FF75B465522}"/>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1FB9-4017-A193-8FF75B465522}"/>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1FB9-4017-A193-8FF75B465522}"/>
              </c:ext>
            </c:extLst>
          </c:dPt>
          <c:dLbls>
            <c:dLbl>
              <c:idx val="2"/>
              <c:layout>
                <c:manualLayout>
                  <c:x val="-0.22977589339794063"/>
                  <c:y val="0.1080102149393488"/>
                </c:manualLayout>
              </c:layout>
              <c:spPr>
                <a:solidFill>
                  <a:schemeClr val="bg1"/>
                </a:solidFill>
                <a:ln>
                  <a:solidFill>
                    <a:srgbClr val="FDFAF6"/>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FB9-4017-A193-8FF75B465522}"/>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j-lt"/>
                    <a:ea typeface="ADLaM Display" panose="020F0502020204030204" pitchFamily="2" charset="0"/>
                    <a:cs typeface="ADLaM Display" panose="020F0502020204030204" pitchFamily="2" charset="0"/>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East</c:v>
                </c:pt>
                <c:pt idx="1">
                  <c:v>North</c:v>
                </c:pt>
                <c:pt idx="2">
                  <c:v>South</c:v>
                </c:pt>
                <c:pt idx="3">
                  <c:v>West</c:v>
                </c:pt>
              </c:strCache>
            </c:strRef>
          </c:cat>
          <c:val>
            <c:numRef>
              <c:f>Sheet2!$B$4:$B$8</c:f>
              <c:numCache>
                <c:formatCode>[&gt;=1000000]0.##,,"M";[&gt;=1000]0.#,"K";0</c:formatCode>
                <c:ptCount val="4"/>
                <c:pt idx="0">
                  <c:v>2979.2</c:v>
                </c:pt>
                <c:pt idx="1">
                  <c:v>2059.7142857142858</c:v>
                </c:pt>
                <c:pt idx="2">
                  <c:v>2893.75</c:v>
                </c:pt>
                <c:pt idx="3">
                  <c:v>2473.125</c:v>
                </c:pt>
              </c:numCache>
            </c:numRef>
          </c:val>
          <c:extLst>
            <c:ext xmlns:c16="http://schemas.microsoft.com/office/drawing/2014/chart" uri="{C3380CC4-5D6E-409C-BE32-E72D297353CC}">
              <c16:uniqueId val="{00000002-6523-40CC-A021-972C6DAFD857}"/>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DFAF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[pivot table - After format 1.xlsx]Sheet2!PivotTable3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Best</a:t>
            </a:r>
            <a:r>
              <a:rPr lang="en-US" b="1" baseline="0">
                <a:solidFill>
                  <a:sysClr val="windowText" lastClr="000000"/>
                </a:solidFill>
              </a:rPr>
              <a:t> sales product for each category dy Total sales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5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5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5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5"/>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eparator>
</c:separator>
          <c:extLst>
            <c:ext xmlns:c15="http://schemas.microsoft.com/office/drawing/2012/chart" uri="{CE6537A1-D6FC-4f65-9D91-7224C49458BB}"/>
          </c:extLst>
        </c:dLbl>
      </c:pivotFmt>
    </c:pivotFmts>
    <c:plotArea>
      <c:layout/>
      <c:barChart>
        <c:barDir val="col"/>
        <c:grouping val="percentStacked"/>
        <c:varyColors val="0"/>
        <c:ser>
          <c:idx val="0"/>
          <c:order val="0"/>
          <c:tx>
            <c:strRef>
              <c:f>Sheet2!$DA$3:$DA$4</c:f>
              <c:strCache>
                <c:ptCount val="1"/>
                <c:pt idx="0">
                  <c:v>Chair</c:v>
                </c:pt>
              </c:strCache>
            </c:strRef>
          </c:tx>
          <c:spPr>
            <a:solidFill>
              <a:schemeClr val="accent3">
                <a:tint val="4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strRef>
              <c:f>Sheet2!$CZ$5:$CZ$8</c:f>
              <c:strCache>
                <c:ptCount val="3"/>
                <c:pt idx="0">
                  <c:v>Accessories</c:v>
                </c:pt>
                <c:pt idx="1">
                  <c:v>Electronics</c:v>
                </c:pt>
                <c:pt idx="2">
                  <c:v>Furniture</c:v>
                </c:pt>
              </c:strCache>
            </c:strRef>
          </c:cat>
          <c:val>
            <c:numRef>
              <c:f>Sheet2!$DA$5:$DA$8</c:f>
              <c:numCache>
                <c:formatCode>[&gt;=1000000]0.##,,"M";[&gt;=1000]0.#,"K";0</c:formatCode>
                <c:ptCount val="3"/>
                <c:pt idx="2">
                  <c:v>34300</c:v>
                </c:pt>
              </c:numCache>
            </c:numRef>
          </c:val>
          <c:extLst>
            <c:ext xmlns:c16="http://schemas.microsoft.com/office/drawing/2014/chart" uri="{C3380CC4-5D6E-409C-BE32-E72D297353CC}">
              <c16:uniqueId val="{00000000-11C0-430F-81B0-9ADA1FF67195}"/>
            </c:ext>
          </c:extLst>
        </c:ser>
        <c:ser>
          <c:idx val="1"/>
          <c:order val="1"/>
          <c:tx>
            <c:strRef>
              <c:f>Sheet2!$DB$3:$DB$4</c:f>
              <c:strCache>
                <c:ptCount val="1"/>
                <c:pt idx="0">
                  <c:v>Desk</c:v>
                </c:pt>
              </c:strCache>
            </c:strRef>
          </c:tx>
          <c:spPr>
            <a:solidFill>
              <a:schemeClr val="accent3">
                <a:tint val="56000"/>
              </a:schemeClr>
            </a:solidFill>
            <a:ln>
              <a:noFill/>
            </a:ln>
            <a:effectLst/>
          </c:spPr>
          <c:invertIfNegative val="0"/>
          <c:dPt>
            <c:idx val="2"/>
            <c:invertIfNegative val="0"/>
            <c:bubble3D val="0"/>
            <c:extLst>
              <c:ext xmlns:c16="http://schemas.microsoft.com/office/drawing/2014/chart" uri="{C3380CC4-5D6E-409C-BE32-E72D297353CC}">
                <c16:uniqueId val="{00000000-E1F7-43CB-B4C4-2952ED34077E}"/>
              </c:ext>
            </c:extLst>
          </c:dPt>
          <c:dLbls>
            <c:dLbl>
              <c:idx val="2"/>
              <c:showLegendKey val="0"/>
              <c:showVal val="0"/>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E1F7-43CB-B4C4-2952ED3407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Sheet2!$DB$5:$DB$8</c:f>
              <c:numCache>
                <c:formatCode>[&gt;=1000000]0.##,,"M";[&gt;=1000]0.#,"K";0</c:formatCode>
                <c:ptCount val="3"/>
                <c:pt idx="2">
                  <c:v>27500</c:v>
                </c:pt>
              </c:numCache>
            </c:numRef>
          </c:val>
          <c:extLst>
            <c:ext xmlns:c16="http://schemas.microsoft.com/office/drawing/2014/chart" uri="{C3380CC4-5D6E-409C-BE32-E72D297353CC}">
              <c16:uniqueId val="{00000070-11C0-430F-81B0-9ADA1FF67195}"/>
            </c:ext>
          </c:extLst>
        </c:ser>
        <c:ser>
          <c:idx val="2"/>
          <c:order val="2"/>
          <c:tx>
            <c:strRef>
              <c:f>Sheet2!$DC$3:$DC$4</c:f>
              <c:strCache>
                <c:ptCount val="1"/>
                <c:pt idx="0">
                  <c:v>Headphones</c:v>
                </c:pt>
              </c:strCache>
            </c:strRef>
          </c:tx>
          <c:spPr>
            <a:solidFill>
              <a:schemeClr val="accent3">
                <a:tint val="69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Sheet2!$DC$5:$DC$8</c:f>
              <c:numCache>
                <c:formatCode>[&gt;=1000000]0.##,,"M";[&gt;=1000]0.#,"K";0</c:formatCode>
                <c:ptCount val="3"/>
                <c:pt idx="0">
                  <c:v>8160</c:v>
                </c:pt>
              </c:numCache>
            </c:numRef>
          </c:val>
          <c:extLst>
            <c:ext xmlns:c16="http://schemas.microsoft.com/office/drawing/2014/chart" uri="{C3380CC4-5D6E-409C-BE32-E72D297353CC}">
              <c16:uniqueId val="{00000071-11C0-430F-81B0-9ADA1FF67195}"/>
            </c:ext>
          </c:extLst>
        </c:ser>
        <c:ser>
          <c:idx val="3"/>
          <c:order val="3"/>
          <c:tx>
            <c:strRef>
              <c:f>Sheet2!$DD$3:$DD$4</c:f>
              <c:strCache>
                <c:ptCount val="1"/>
                <c:pt idx="0">
                  <c:v>Keyboard</c:v>
                </c:pt>
              </c:strCache>
            </c:strRef>
          </c:tx>
          <c:spPr>
            <a:solidFill>
              <a:schemeClr val="accent3">
                <a:tint val="81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Sheet2!$DD$5:$DD$8</c:f>
              <c:numCache>
                <c:formatCode>[&gt;=1000000]0.##,,"M";[&gt;=1000]0.#,"K";0</c:formatCode>
                <c:ptCount val="3"/>
                <c:pt idx="0">
                  <c:v>2550</c:v>
                </c:pt>
              </c:numCache>
            </c:numRef>
          </c:val>
          <c:extLst>
            <c:ext xmlns:c16="http://schemas.microsoft.com/office/drawing/2014/chart" uri="{C3380CC4-5D6E-409C-BE32-E72D297353CC}">
              <c16:uniqueId val="{00000072-11C0-430F-81B0-9ADA1FF67195}"/>
            </c:ext>
          </c:extLst>
        </c:ser>
        <c:ser>
          <c:idx val="4"/>
          <c:order val="4"/>
          <c:tx>
            <c:strRef>
              <c:f>Sheet2!$DE$3:$DE$4</c:f>
              <c:strCache>
                <c:ptCount val="1"/>
                <c:pt idx="0">
                  <c:v>Laptop</c:v>
                </c:pt>
              </c:strCache>
            </c:strRef>
          </c:tx>
          <c:spPr>
            <a:solidFill>
              <a:schemeClr val="accent3">
                <a:tint val="9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Sheet2!$DE$5:$DE$8</c:f>
              <c:numCache>
                <c:formatCode>[&gt;=1000000]0.##,,"M";[&gt;=1000]0.#,"K";0</c:formatCode>
                <c:ptCount val="3"/>
                <c:pt idx="1">
                  <c:v>72000</c:v>
                </c:pt>
              </c:numCache>
            </c:numRef>
          </c:val>
          <c:extLst>
            <c:ext xmlns:c16="http://schemas.microsoft.com/office/drawing/2014/chart" uri="{C3380CC4-5D6E-409C-BE32-E72D297353CC}">
              <c16:uniqueId val="{00000073-11C0-430F-81B0-9ADA1FF67195}"/>
            </c:ext>
          </c:extLst>
        </c:ser>
        <c:ser>
          <c:idx val="5"/>
          <c:order val="5"/>
          <c:tx>
            <c:strRef>
              <c:f>Sheet2!$DF$3:$DF$4</c:f>
              <c:strCache>
                <c:ptCount val="1"/>
                <c:pt idx="0">
                  <c:v>Monitor</c:v>
                </c:pt>
              </c:strCache>
            </c:strRef>
          </c:tx>
          <c:spPr>
            <a:solidFill>
              <a:schemeClr val="accent3">
                <a:shade val="9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Sheet2!$DF$5:$DF$8</c:f>
              <c:numCache>
                <c:formatCode>[&gt;=1000000]0.##,,"M";[&gt;=1000]0.#,"K";0</c:formatCode>
                <c:ptCount val="3"/>
                <c:pt idx="1">
                  <c:v>7500</c:v>
                </c:pt>
              </c:numCache>
            </c:numRef>
          </c:val>
          <c:extLst>
            <c:ext xmlns:c16="http://schemas.microsoft.com/office/drawing/2014/chart" uri="{C3380CC4-5D6E-409C-BE32-E72D297353CC}">
              <c16:uniqueId val="{00000074-11C0-430F-81B0-9ADA1FF67195}"/>
            </c:ext>
          </c:extLst>
        </c:ser>
        <c:ser>
          <c:idx val="6"/>
          <c:order val="6"/>
          <c:tx>
            <c:strRef>
              <c:f>Sheet2!$DG$3:$DG$4</c:f>
              <c:strCache>
                <c:ptCount val="1"/>
                <c:pt idx="0">
                  <c:v>Mouse</c:v>
                </c:pt>
              </c:strCache>
            </c:strRef>
          </c:tx>
          <c:spPr>
            <a:solidFill>
              <a:schemeClr val="accent3">
                <a:shade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Sheet2!$DG$5:$DG$8</c:f>
              <c:numCache>
                <c:formatCode>[&gt;=1000000]0.##,,"M";[&gt;=1000]0.#,"K";0</c:formatCode>
                <c:ptCount val="3"/>
                <c:pt idx="0">
                  <c:v>2565</c:v>
                </c:pt>
              </c:numCache>
            </c:numRef>
          </c:val>
          <c:extLst>
            <c:ext xmlns:c16="http://schemas.microsoft.com/office/drawing/2014/chart" uri="{C3380CC4-5D6E-409C-BE32-E72D297353CC}">
              <c16:uniqueId val="{00000075-11C0-430F-81B0-9ADA1FF67195}"/>
            </c:ext>
          </c:extLst>
        </c:ser>
        <c:ser>
          <c:idx val="7"/>
          <c:order val="7"/>
          <c:tx>
            <c:strRef>
              <c:f>Sheet2!$DH$3:$DH$4</c:f>
              <c:strCache>
                <c:ptCount val="1"/>
                <c:pt idx="0">
                  <c:v>Phone</c:v>
                </c:pt>
              </c:strCache>
            </c:strRef>
          </c:tx>
          <c:spPr>
            <a:solidFill>
              <a:schemeClr val="accent3">
                <a:shade val="6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Sheet2!$DH$5:$DH$8</c:f>
              <c:numCache>
                <c:formatCode>[&gt;=1000000]0.##,,"M";[&gt;=1000]0.#,"K";0</c:formatCode>
                <c:ptCount val="3"/>
                <c:pt idx="1">
                  <c:v>60000</c:v>
                </c:pt>
              </c:numCache>
            </c:numRef>
          </c:val>
          <c:extLst>
            <c:ext xmlns:c16="http://schemas.microsoft.com/office/drawing/2014/chart" uri="{C3380CC4-5D6E-409C-BE32-E72D297353CC}">
              <c16:uniqueId val="{00000076-11C0-430F-81B0-9ADA1FF67195}"/>
            </c:ext>
          </c:extLst>
        </c:ser>
        <c:ser>
          <c:idx val="8"/>
          <c:order val="8"/>
          <c:tx>
            <c:strRef>
              <c:f>Sheet2!$DI$3:$DI$4</c:f>
              <c:strCache>
                <c:ptCount val="1"/>
                <c:pt idx="0">
                  <c:v>Printer</c:v>
                </c:pt>
              </c:strCache>
            </c:strRef>
          </c:tx>
          <c:spPr>
            <a:solidFill>
              <a:schemeClr val="accent3">
                <a:shade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Sheet2!$DI$5:$DI$8</c:f>
              <c:numCache>
                <c:formatCode>[&gt;=1000000]0.##,,"M";[&gt;=1000]0.#,"K";0</c:formatCode>
                <c:ptCount val="3"/>
                <c:pt idx="1">
                  <c:v>5250</c:v>
                </c:pt>
              </c:numCache>
            </c:numRef>
          </c:val>
          <c:extLst>
            <c:ext xmlns:c16="http://schemas.microsoft.com/office/drawing/2014/chart" uri="{C3380CC4-5D6E-409C-BE32-E72D297353CC}">
              <c16:uniqueId val="{00000077-11C0-430F-81B0-9ADA1FF67195}"/>
            </c:ext>
          </c:extLst>
        </c:ser>
        <c:ser>
          <c:idx val="9"/>
          <c:order val="9"/>
          <c:tx>
            <c:strRef>
              <c:f>Sheet2!$DJ$3:$DJ$4</c:f>
              <c:strCache>
                <c:ptCount val="1"/>
                <c:pt idx="0">
                  <c:v>Tablet</c:v>
                </c:pt>
              </c:strCache>
            </c:strRef>
          </c:tx>
          <c:spPr>
            <a:solidFill>
              <a:schemeClr val="accent3">
                <a:shade val="4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Sheet2!$DJ$5:$DJ$8</c:f>
              <c:numCache>
                <c:formatCode>[&gt;=1000000]0.##,,"M";[&gt;=1000]0.#,"K";0</c:formatCode>
                <c:ptCount val="3"/>
                <c:pt idx="1">
                  <c:v>32400</c:v>
                </c:pt>
              </c:numCache>
            </c:numRef>
          </c:val>
          <c:extLst>
            <c:ext xmlns:c16="http://schemas.microsoft.com/office/drawing/2014/chart" uri="{C3380CC4-5D6E-409C-BE32-E72D297353CC}">
              <c16:uniqueId val="{00000078-11C0-430F-81B0-9ADA1FF67195}"/>
            </c:ext>
          </c:extLst>
        </c:ser>
        <c:dLbls>
          <c:showLegendKey val="0"/>
          <c:showVal val="1"/>
          <c:showCatName val="0"/>
          <c:showSerName val="0"/>
          <c:showPercent val="0"/>
          <c:showBubbleSize val="0"/>
        </c:dLbls>
        <c:gapWidth val="150"/>
        <c:overlap val="100"/>
        <c:axId val="866241864"/>
        <c:axId val="866239344"/>
      </c:barChart>
      <c:catAx>
        <c:axId val="866241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66239344"/>
        <c:crosses val="autoZero"/>
        <c:auto val="1"/>
        <c:lblAlgn val="ctr"/>
        <c:lblOffset val="100"/>
        <c:noMultiLvlLbl val="0"/>
      </c:catAx>
      <c:valAx>
        <c:axId val="866239344"/>
        <c:scaling>
          <c:orientation val="minMax"/>
        </c:scaling>
        <c:delete val="1"/>
        <c:axPos val="l"/>
        <c:numFmt formatCode="0%" sourceLinked="1"/>
        <c:majorTickMark val="none"/>
        <c:minorTickMark val="none"/>
        <c:tickLblPos val="nextTo"/>
        <c:crossAx val="866241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 After format 1.xlsx]Sheet2!time ser</c:name>
    <c:fmtId val="4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333332515310598E-2"/>
          <c:y val="0.19486111111111112"/>
          <c:w val="0.93766666748468941"/>
          <c:h val="0.59827172645086035"/>
        </c:manualLayout>
      </c:layout>
      <c:lineChart>
        <c:grouping val="stacked"/>
        <c:varyColors val="0"/>
        <c:ser>
          <c:idx val="0"/>
          <c:order val="0"/>
          <c:tx>
            <c:strRef>
              <c:f>Sheet2!$AK$41</c:f>
              <c:strCache>
                <c:ptCount val="1"/>
                <c:pt idx="0">
                  <c:v>Total</c:v>
                </c:pt>
              </c:strCache>
            </c:strRef>
          </c:tx>
          <c:spPr>
            <a:ln w="28575" cap="rnd">
              <a:solidFill>
                <a:schemeClr val="accent1"/>
              </a:solidFill>
              <a:round/>
            </a:ln>
            <a:effectLst/>
          </c:spPr>
          <c:marker>
            <c:symbol val="none"/>
          </c:marker>
          <c:cat>
            <c:strRef>
              <c:f>Sheet2!$AJ$42:$AJ$79</c:f>
              <c:strCache>
                <c:ptCount val="38"/>
                <c:pt idx="0">
                  <c:v>1/5/2024</c:v>
                </c:pt>
                <c:pt idx="1">
                  <c:v>1/6/2024</c:v>
                </c:pt>
                <c:pt idx="2">
                  <c:v>1/12/2024</c:v>
                </c:pt>
                <c:pt idx="3">
                  <c:v>1/15/2024</c:v>
                </c:pt>
                <c:pt idx="4">
                  <c:v>1/16/2024</c:v>
                </c:pt>
                <c:pt idx="5">
                  <c:v>1/23/2024</c:v>
                </c:pt>
                <c:pt idx="6">
                  <c:v>1/27/2024</c:v>
                </c:pt>
                <c:pt idx="7">
                  <c:v>2/2/2024</c:v>
                </c:pt>
                <c:pt idx="8">
                  <c:v>2/12/2024</c:v>
                </c:pt>
                <c:pt idx="9">
                  <c:v>2/13/2024</c:v>
                </c:pt>
                <c:pt idx="10">
                  <c:v>2/15/2024</c:v>
                </c:pt>
                <c:pt idx="11">
                  <c:v>2/18/2024</c:v>
                </c:pt>
                <c:pt idx="12">
                  <c:v>2/23/2024</c:v>
                </c:pt>
                <c:pt idx="13">
                  <c:v>2/24/2024</c:v>
                </c:pt>
                <c:pt idx="14">
                  <c:v>2/25/2024</c:v>
                </c:pt>
                <c:pt idx="15">
                  <c:v>2/28/2024</c:v>
                </c:pt>
                <c:pt idx="16">
                  <c:v>3/6/2024</c:v>
                </c:pt>
                <c:pt idx="17">
                  <c:v>3/12/2024</c:v>
                </c:pt>
                <c:pt idx="18">
                  <c:v>3/16/2024</c:v>
                </c:pt>
                <c:pt idx="19">
                  <c:v>3/17/2024</c:v>
                </c:pt>
                <c:pt idx="20">
                  <c:v>3/21/2024</c:v>
                </c:pt>
                <c:pt idx="21">
                  <c:v>3/23/2024</c:v>
                </c:pt>
                <c:pt idx="22">
                  <c:v>3/29/2024</c:v>
                </c:pt>
                <c:pt idx="23">
                  <c:v>3/31/2024</c:v>
                </c:pt>
                <c:pt idx="24">
                  <c:v>4/1/2024</c:v>
                </c:pt>
                <c:pt idx="25">
                  <c:v>4/2/2024</c:v>
                </c:pt>
                <c:pt idx="26">
                  <c:v>4/3/2024</c:v>
                </c:pt>
                <c:pt idx="27">
                  <c:v>4/7/2024</c:v>
                </c:pt>
                <c:pt idx="28">
                  <c:v>4/12/2024</c:v>
                </c:pt>
                <c:pt idx="29">
                  <c:v>4/19/2024</c:v>
                </c:pt>
                <c:pt idx="30">
                  <c:v>4/23/2024</c:v>
                </c:pt>
                <c:pt idx="31">
                  <c:v>4/25/2024</c:v>
                </c:pt>
                <c:pt idx="32">
                  <c:v>5/7/2024</c:v>
                </c:pt>
                <c:pt idx="33">
                  <c:v>5/11/2024</c:v>
                </c:pt>
                <c:pt idx="34">
                  <c:v>5/17/2024</c:v>
                </c:pt>
                <c:pt idx="35">
                  <c:v>5/18/2024</c:v>
                </c:pt>
                <c:pt idx="36">
                  <c:v>5/19/2024</c:v>
                </c:pt>
                <c:pt idx="37">
                  <c:v>5/25/2024</c:v>
                </c:pt>
              </c:strCache>
            </c:strRef>
          </c:cat>
          <c:val>
            <c:numRef>
              <c:f>Sheet2!$AK$42:$AK$79</c:f>
              <c:numCache>
                <c:formatCode>General</c:formatCode>
                <c:ptCount val="38"/>
                <c:pt idx="0">
                  <c:v>4</c:v>
                </c:pt>
                <c:pt idx="1">
                  <c:v>1</c:v>
                </c:pt>
                <c:pt idx="2">
                  <c:v>10</c:v>
                </c:pt>
                <c:pt idx="3">
                  <c:v>9</c:v>
                </c:pt>
                <c:pt idx="4">
                  <c:v>2</c:v>
                </c:pt>
                <c:pt idx="5">
                  <c:v>10</c:v>
                </c:pt>
                <c:pt idx="6">
                  <c:v>7</c:v>
                </c:pt>
                <c:pt idx="7">
                  <c:v>4</c:v>
                </c:pt>
                <c:pt idx="8">
                  <c:v>6</c:v>
                </c:pt>
                <c:pt idx="9">
                  <c:v>11</c:v>
                </c:pt>
                <c:pt idx="10">
                  <c:v>5</c:v>
                </c:pt>
                <c:pt idx="11">
                  <c:v>3</c:v>
                </c:pt>
                <c:pt idx="12">
                  <c:v>1</c:v>
                </c:pt>
                <c:pt idx="13">
                  <c:v>9</c:v>
                </c:pt>
                <c:pt idx="14">
                  <c:v>13</c:v>
                </c:pt>
                <c:pt idx="15">
                  <c:v>3</c:v>
                </c:pt>
                <c:pt idx="16">
                  <c:v>5</c:v>
                </c:pt>
                <c:pt idx="17">
                  <c:v>6</c:v>
                </c:pt>
                <c:pt idx="18">
                  <c:v>10</c:v>
                </c:pt>
                <c:pt idx="19">
                  <c:v>8</c:v>
                </c:pt>
                <c:pt idx="20">
                  <c:v>3</c:v>
                </c:pt>
                <c:pt idx="21">
                  <c:v>8</c:v>
                </c:pt>
                <c:pt idx="22">
                  <c:v>3</c:v>
                </c:pt>
                <c:pt idx="23">
                  <c:v>5</c:v>
                </c:pt>
                <c:pt idx="24">
                  <c:v>6</c:v>
                </c:pt>
                <c:pt idx="25">
                  <c:v>10</c:v>
                </c:pt>
                <c:pt idx="26">
                  <c:v>10</c:v>
                </c:pt>
                <c:pt idx="27">
                  <c:v>8</c:v>
                </c:pt>
                <c:pt idx="28">
                  <c:v>16</c:v>
                </c:pt>
                <c:pt idx="29">
                  <c:v>9</c:v>
                </c:pt>
                <c:pt idx="30">
                  <c:v>9</c:v>
                </c:pt>
                <c:pt idx="31">
                  <c:v>15</c:v>
                </c:pt>
                <c:pt idx="32">
                  <c:v>10</c:v>
                </c:pt>
                <c:pt idx="33">
                  <c:v>1</c:v>
                </c:pt>
                <c:pt idx="34">
                  <c:v>3</c:v>
                </c:pt>
                <c:pt idx="35">
                  <c:v>9</c:v>
                </c:pt>
                <c:pt idx="36">
                  <c:v>2</c:v>
                </c:pt>
                <c:pt idx="37">
                  <c:v>10</c:v>
                </c:pt>
              </c:numCache>
            </c:numRef>
          </c:val>
          <c:smooth val="0"/>
          <c:extLst>
            <c:ext xmlns:c16="http://schemas.microsoft.com/office/drawing/2014/chart" uri="{C3380CC4-5D6E-409C-BE32-E72D297353CC}">
              <c16:uniqueId val="{00000003-8D15-40F8-AFC8-15EEADF546CA}"/>
            </c:ext>
          </c:extLst>
        </c:ser>
        <c:dLbls>
          <c:showLegendKey val="0"/>
          <c:showVal val="0"/>
          <c:showCatName val="0"/>
          <c:showSerName val="0"/>
          <c:showPercent val="0"/>
          <c:showBubbleSize val="0"/>
        </c:dLbls>
        <c:smooth val="0"/>
        <c:axId val="964295416"/>
        <c:axId val="964296856"/>
      </c:lineChart>
      <c:catAx>
        <c:axId val="964295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296856"/>
        <c:crosses val="autoZero"/>
        <c:auto val="1"/>
        <c:lblAlgn val="ctr"/>
        <c:lblOffset val="100"/>
        <c:noMultiLvlLbl val="0"/>
      </c:catAx>
      <c:valAx>
        <c:axId val="964296856"/>
        <c:scaling>
          <c:orientation val="minMax"/>
        </c:scaling>
        <c:delete val="1"/>
        <c:axPos val="l"/>
        <c:numFmt formatCode="General" sourceLinked="1"/>
        <c:majorTickMark val="none"/>
        <c:minorTickMark val="none"/>
        <c:tickLblPos val="nextTo"/>
        <c:crossAx val="96429541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 After format 1.xlsx]Sheet2!Total Sales By category</c:name>
    <c:fmtId val="45"/>
  </c:pivotSource>
  <c:chart>
    <c:title>
      <c:tx>
        <c:rich>
          <a:bodyPr rot="0" spcFirstLastPara="1" vertOverflow="ellipsis" vert="horz" wrap="square" anchor="ctr" anchorCtr="1"/>
          <a:lstStyle/>
          <a:p>
            <a:pPr algn="ctr" rtl="1">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sales per category</a:t>
            </a:r>
            <a:endParaRPr lang="en-US" b="1">
              <a:solidFill>
                <a:schemeClr val="tx1"/>
              </a:solidFill>
            </a:endParaRPr>
          </a:p>
        </c:rich>
      </c:tx>
      <c:layout>
        <c:manualLayout>
          <c:xMode val="edge"/>
          <c:yMode val="edge"/>
          <c:x val="0.20643744531933508"/>
          <c:y val="2.3148148148148147E-2"/>
        </c:manualLayout>
      </c:layout>
      <c:overlay val="0"/>
      <c:spPr>
        <a:noFill/>
        <a:ln>
          <a:noFill/>
        </a:ln>
        <a:effectLst/>
      </c:spPr>
      <c:txPr>
        <a:bodyPr rot="0" spcFirstLastPara="1" vertOverflow="ellipsis" vert="horz" wrap="square" anchor="ctr" anchorCtr="1"/>
        <a:lstStyle/>
        <a:p>
          <a:pPr algn="ctr" rtl="1">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Sheet2!$BD$2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Sheet2!$BC$3:$BC$6</c:f>
              <c:strCache>
                <c:ptCount val="3"/>
                <c:pt idx="0">
                  <c:v>Accessories</c:v>
                </c:pt>
                <c:pt idx="1">
                  <c:v>Electronics</c:v>
                </c:pt>
                <c:pt idx="2">
                  <c:v>Furniture</c:v>
                </c:pt>
              </c:strCache>
            </c:strRef>
          </c:cat>
          <c:val>
            <c:numRef>
              <c:f>Sheet2!$BD$3:$BD$6</c:f>
              <c:numCache>
                <c:formatCode>[&gt;=1000000]0.##,,"M";[&gt;=1000]0.#,"K";0</c:formatCode>
                <c:ptCount val="3"/>
                <c:pt idx="0">
                  <c:v>13275</c:v>
                </c:pt>
                <c:pt idx="1">
                  <c:v>177150</c:v>
                </c:pt>
                <c:pt idx="2">
                  <c:v>61800</c:v>
                </c:pt>
              </c:numCache>
            </c:numRef>
          </c:val>
          <c:extLst>
            <c:ext xmlns:c16="http://schemas.microsoft.com/office/drawing/2014/chart" uri="{C3380CC4-5D6E-409C-BE32-E72D297353CC}">
              <c16:uniqueId val="{00000000-897E-4734-9B2B-BD94145823C6}"/>
            </c:ext>
          </c:extLst>
        </c:ser>
        <c:dLbls>
          <c:dLblPos val="outEnd"/>
          <c:showLegendKey val="0"/>
          <c:showVal val="1"/>
          <c:showCatName val="0"/>
          <c:showSerName val="0"/>
          <c:showPercent val="0"/>
          <c:showBubbleSize val="0"/>
        </c:dLbls>
        <c:gapWidth val="219"/>
        <c:overlap val="-27"/>
        <c:axId val="964336096"/>
        <c:axId val="964340056"/>
      </c:barChart>
      <c:catAx>
        <c:axId val="964336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64340056"/>
        <c:crosses val="autoZero"/>
        <c:auto val="1"/>
        <c:lblAlgn val="ctr"/>
        <c:lblOffset val="100"/>
        <c:noMultiLvlLbl val="0"/>
      </c:catAx>
      <c:valAx>
        <c:axId val="964340056"/>
        <c:scaling>
          <c:orientation val="minMax"/>
        </c:scaling>
        <c:delete val="1"/>
        <c:axPos val="l"/>
        <c:numFmt formatCode="[&gt;=1000000]0.##,,&quot;M&quot;;[&gt;=1000]0.#,&quot;K&quot;;0" sourceLinked="1"/>
        <c:majorTickMark val="out"/>
        <c:minorTickMark val="none"/>
        <c:tickLblPos val="nextTo"/>
        <c:crossAx val="96433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[pivot table - After format 1.xlsx]Sheet2!Avarage of categgory per region</c:name>
    <c:fmtId val="2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Avarage of Category per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tint val="65000"/>
            </a:schemeClr>
          </a:solidFill>
          <a:ln>
            <a:noFill/>
          </a:ln>
          <a:effectLst/>
        </c:spPr>
      </c:pivotFmt>
      <c:pivotFmt>
        <c:idx val="16"/>
        <c:spPr>
          <a:solidFill>
            <a:schemeClr val="accent3">
              <a:tint val="65000"/>
            </a:schemeClr>
          </a:solidFill>
          <a:ln>
            <a:noFill/>
          </a:ln>
          <a:effectLst/>
        </c:spPr>
      </c:pivotFmt>
    </c:pivotFmts>
    <c:plotArea>
      <c:layout>
        <c:manualLayout>
          <c:layoutTarget val="inner"/>
          <c:xMode val="edge"/>
          <c:yMode val="edge"/>
          <c:x val="5.7110061775656321E-2"/>
          <c:y val="0.1633474541977584"/>
          <c:w val="0.94270833333333337"/>
          <c:h val="0.64650709445877164"/>
        </c:manualLayout>
      </c:layout>
      <c:barChart>
        <c:barDir val="col"/>
        <c:grouping val="clustered"/>
        <c:varyColors val="0"/>
        <c:ser>
          <c:idx val="0"/>
          <c:order val="0"/>
          <c:tx>
            <c:strRef>
              <c:f>Sheet2!$G$1:$G$2</c:f>
              <c:strCache>
                <c:ptCount val="1"/>
                <c:pt idx="0">
                  <c:v>Accessories</c:v>
                </c:pt>
              </c:strCache>
            </c:strRef>
          </c:tx>
          <c:spPr>
            <a:solidFill>
              <a:schemeClr val="accent3">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Sheet2!$F$3:$F$7</c:f>
              <c:strCache>
                <c:ptCount val="4"/>
                <c:pt idx="0">
                  <c:v>East</c:v>
                </c:pt>
                <c:pt idx="1">
                  <c:v>North</c:v>
                </c:pt>
                <c:pt idx="2">
                  <c:v>South</c:v>
                </c:pt>
                <c:pt idx="3">
                  <c:v>West</c:v>
                </c:pt>
              </c:strCache>
            </c:strRef>
          </c:cat>
          <c:val>
            <c:numRef>
              <c:f>Sheet2!$G$3:$G$7</c:f>
              <c:numCache>
                <c:formatCode>[&gt;=1000000]0.##,,"M";[&gt;=1000]0.#,"K";0</c:formatCode>
                <c:ptCount val="4"/>
                <c:pt idx="0">
                  <c:v>330</c:v>
                </c:pt>
                <c:pt idx="1">
                  <c:v>567.27272727272725</c:v>
                </c:pt>
                <c:pt idx="2">
                  <c:v>420</c:v>
                </c:pt>
                <c:pt idx="3">
                  <c:v>369.375</c:v>
                </c:pt>
              </c:numCache>
            </c:numRef>
          </c:val>
          <c:extLst>
            <c:ext xmlns:c16="http://schemas.microsoft.com/office/drawing/2014/chart" uri="{C3380CC4-5D6E-409C-BE32-E72D297353CC}">
              <c16:uniqueId val="{00000000-A6CC-4F37-B859-A82DBEBBF24A}"/>
            </c:ext>
          </c:extLst>
        </c:ser>
        <c:ser>
          <c:idx val="1"/>
          <c:order val="1"/>
          <c:tx>
            <c:strRef>
              <c:f>Sheet2!$H$1:$H$2</c:f>
              <c:strCache>
                <c:ptCount val="1"/>
                <c:pt idx="0">
                  <c:v>Electronics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Sheet2!$F$3:$F$7</c:f>
              <c:strCache>
                <c:ptCount val="4"/>
                <c:pt idx="0">
                  <c:v>East</c:v>
                </c:pt>
                <c:pt idx="1">
                  <c:v>North</c:v>
                </c:pt>
                <c:pt idx="2">
                  <c:v>South</c:v>
                </c:pt>
                <c:pt idx="3">
                  <c:v>West</c:v>
                </c:pt>
              </c:strCache>
            </c:strRef>
          </c:cat>
          <c:val>
            <c:numRef>
              <c:f>Sheet2!$H$3:$H$7</c:f>
              <c:numCache>
                <c:formatCode>[&gt;=1000000]0.##,,"M";[&gt;=1000]0.#,"K";0</c:formatCode>
                <c:ptCount val="4"/>
                <c:pt idx="0">
                  <c:v>4895.454545454545</c:v>
                </c:pt>
                <c:pt idx="1">
                  <c:v>2533.3333333333335</c:v>
                </c:pt>
                <c:pt idx="2">
                  <c:v>4764.2857142857147</c:v>
                </c:pt>
                <c:pt idx="3">
                  <c:v>4031.818181818182</c:v>
                </c:pt>
              </c:numCache>
            </c:numRef>
          </c:val>
          <c:extLst>
            <c:ext xmlns:c16="http://schemas.microsoft.com/office/drawing/2014/chart" uri="{C3380CC4-5D6E-409C-BE32-E72D297353CC}">
              <c16:uniqueId val="{00000001-A6CC-4F37-B859-A82DBEBBF24A}"/>
            </c:ext>
          </c:extLst>
        </c:ser>
        <c:ser>
          <c:idx val="2"/>
          <c:order val="2"/>
          <c:tx>
            <c:strRef>
              <c:f>Sheet2!$I$1:$I$2</c:f>
              <c:strCache>
                <c:ptCount val="1"/>
                <c:pt idx="0">
                  <c:v>Furniture</c:v>
                </c:pt>
              </c:strCache>
            </c:strRef>
          </c:tx>
          <c:spPr>
            <a:solidFill>
              <a:schemeClr val="accent3">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Sheet2!$F$3:$F$7</c:f>
              <c:strCache>
                <c:ptCount val="4"/>
                <c:pt idx="0">
                  <c:v>East</c:v>
                </c:pt>
                <c:pt idx="1">
                  <c:v>North</c:v>
                </c:pt>
                <c:pt idx="2">
                  <c:v>South</c:v>
                </c:pt>
                <c:pt idx="3">
                  <c:v>West</c:v>
                </c:pt>
              </c:strCache>
            </c:strRef>
          </c:cat>
          <c:val>
            <c:numRef>
              <c:f>Sheet2!$I$3:$I$7</c:f>
              <c:numCache>
                <c:formatCode>[&gt;=1000000]0.##,,"M";[&gt;=1000]0.#,"K";0</c:formatCode>
                <c:ptCount val="4"/>
                <c:pt idx="0">
                  <c:v>2331.25</c:v>
                </c:pt>
                <c:pt idx="1">
                  <c:v>3375</c:v>
                </c:pt>
                <c:pt idx="2">
                  <c:v>2712.5</c:v>
                </c:pt>
                <c:pt idx="3">
                  <c:v>2410</c:v>
                </c:pt>
              </c:numCache>
            </c:numRef>
          </c:val>
          <c:extLst>
            <c:ext xmlns:c16="http://schemas.microsoft.com/office/drawing/2014/chart" uri="{C3380CC4-5D6E-409C-BE32-E72D297353CC}">
              <c16:uniqueId val="{00000002-A6CC-4F37-B859-A82DBEBBF24A}"/>
            </c:ext>
          </c:extLst>
        </c:ser>
        <c:dLbls>
          <c:dLblPos val="outEnd"/>
          <c:showLegendKey val="0"/>
          <c:showVal val="1"/>
          <c:showCatName val="0"/>
          <c:showSerName val="0"/>
          <c:showPercent val="0"/>
          <c:showBubbleSize val="0"/>
        </c:dLbls>
        <c:gapWidth val="219"/>
        <c:overlap val="-27"/>
        <c:axId val="554404936"/>
        <c:axId val="721521448"/>
      </c:barChart>
      <c:catAx>
        <c:axId val="554404936"/>
        <c:scaling>
          <c:orientation val="minMax"/>
        </c:scaling>
        <c:delete val="1"/>
        <c:axPos val="b"/>
        <c:numFmt formatCode="General" sourceLinked="1"/>
        <c:majorTickMark val="none"/>
        <c:minorTickMark val="none"/>
        <c:tickLblPos val="nextTo"/>
        <c:crossAx val="721521448"/>
        <c:crosses val="autoZero"/>
        <c:auto val="1"/>
        <c:lblAlgn val="ctr"/>
        <c:lblOffset val="100"/>
        <c:noMultiLvlLbl val="0"/>
      </c:catAx>
      <c:valAx>
        <c:axId val="721521448"/>
        <c:scaling>
          <c:orientation val="minMax"/>
        </c:scaling>
        <c:delete val="1"/>
        <c:axPos val="l"/>
        <c:numFmt formatCode="[&gt;=1000000]0.##,,&quot;M&quot;;[&gt;=1000]0.#,&quot;K&quot;;0" sourceLinked="1"/>
        <c:majorTickMark val="none"/>
        <c:minorTickMark val="none"/>
        <c:tickLblPos val="nextTo"/>
        <c:crossAx val="554404936"/>
        <c:crosses val="autoZero"/>
        <c:crossBetween val="between"/>
      </c:valAx>
      <c:spPr>
        <a:noFill/>
        <a:ln>
          <a:noFill/>
        </a:ln>
        <a:effectLst/>
      </c:spPr>
    </c:plotArea>
    <c:legend>
      <c:legendPos val="b"/>
      <c:layout>
        <c:manualLayout>
          <c:xMode val="edge"/>
          <c:yMode val="edge"/>
          <c:x val="0.26907500820209973"/>
          <c:y val="0.81975505241172375"/>
          <c:w val="0.50973928767624976"/>
          <c:h val="8.322482710521177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DFAF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[pivot table - After format 1.xlsx]Sheet2!Sum Of Q per Reguon</c:name>
    <c:fmtId val="2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Sum of Quantity per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dLblPos val="outEnd"/>
          <c:showLegendKey val="0"/>
          <c:showVal val="0"/>
          <c:showCatName val="1"/>
          <c:showSerName val="0"/>
          <c:showPercent val="1"/>
          <c:showBubbleSize val="0"/>
          <c:separator>, </c:separator>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pivotFmt>
      <c:pivotFmt>
        <c:idx val="22"/>
      </c:pivotFmt>
      <c:pivotFmt>
        <c:idx val="23"/>
      </c:pivotFmt>
      <c:pivotFmt>
        <c:idx val="24"/>
      </c:pivotFmt>
      <c:pivotFmt>
        <c:idx val="25"/>
        <c:dLbl>
          <c:idx val="0"/>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6"/>
      </c:pivotFmt>
      <c:pivotFmt>
        <c:idx val="27"/>
      </c:pivotFmt>
      <c:pivotFmt>
        <c:idx val="28"/>
      </c:pivotFmt>
      <c:pivotFmt>
        <c:idx val="29"/>
      </c:pivotFmt>
      <c:pivotFmt>
        <c:idx val="3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1"/>
        <c:spPr>
          <a:solidFill>
            <a:schemeClr val="accent3">
              <a:shade val="58000"/>
            </a:schemeClr>
          </a:solidFill>
          <a:ln w="19050">
            <a:solidFill>
              <a:schemeClr val="lt1"/>
            </a:solidFill>
          </a:ln>
          <a:effectLst/>
        </c:spPr>
        <c:dLbl>
          <c:idx val="0"/>
          <c:layout>
            <c:manualLayout>
              <c:x val="0.12408684124763851"/>
              <c:y val="-0.147633100279071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2"/>
        <c:spPr>
          <a:solidFill>
            <a:schemeClr val="accent3">
              <a:shade val="86000"/>
            </a:schemeClr>
          </a:solidFill>
          <a:ln w="19050">
            <a:solidFill>
              <a:schemeClr val="lt1"/>
            </a:solidFill>
          </a:ln>
          <a:effectLst/>
        </c:spPr>
        <c:dLbl>
          <c:idx val="0"/>
          <c:layout>
            <c:manualLayout>
              <c:x val="0.24016807983413904"/>
              <c:y val="2.03631862453892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3"/>
        <c:spPr>
          <a:solidFill>
            <a:schemeClr val="accent3">
              <a:tint val="86000"/>
            </a:schemeClr>
          </a:solidFill>
          <a:ln w="19050">
            <a:solidFill>
              <a:schemeClr val="lt1"/>
            </a:solidFill>
          </a:ln>
          <a:effectLst/>
        </c:spPr>
        <c:dLbl>
          <c:idx val="0"/>
          <c:layout>
            <c:manualLayout>
              <c:x val="-0.15210645056162142"/>
              <c:y val="9.16343381042514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4"/>
        <c:spPr>
          <a:solidFill>
            <a:schemeClr val="accent3">
              <a:tint val="58000"/>
            </a:schemeClr>
          </a:solidFill>
          <a:ln w="19050">
            <a:solidFill>
              <a:schemeClr val="lt1"/>
            </a:solidFill>
          </a:ln>
          <a:effectLst/>
        </c:spPr>
        <c:dLbl>
          <c:idx val="0"/>
          <c:layout>
            <c:manualLayout>
              <c:x val="-0.18813166253674224"/>
              <c:y val="-7.1271151858862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Sheet2!$O$1</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6A12-4D08-A729-1DB74D0F0C84}"/>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6A12-4D08-A729-1DB74D0F0C84}"/>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6A12-4D08-A729-1DB74D0F0C84}"/>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6A12-4D08-A729-1DB74D0F0C84}"/>
              </c:ext>
            </c:extLst>
          </c:dPt>
          <c:dLbls>
            <c:dLbl>
              <c:idx val="0"/>
              <c:layout>
                <c:manualLayout>
                  <c:x val="0.12408684124763851"/>
                  <c:y val="-0.1476331002790718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A12-4D08-A729-1DB74D0F0C84}"/>
                </c:ext>
              </c:extLst>
            </c:dLbl>
            <c:dLbl>
              <c:idx val="1"/>
              <c:layout>
                <c:manualLayout>
                  <c:x val="0.24016807983413904"/>
                  <c:y val="2.036318624538922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A12-4D08-A729-1DB74D0F0C84}"/>
                </c:ext>
              </c:extLst>
            </c:dLbl>
            <c:dLbl>
              <c:idx val="2"/>
              <c:layout>
                <c:manualLayout>
                  <c:x val="-0.15210645056162142"/>
                  <c:y val="9.1634338104251492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6A12-4D08-A729-1DB74D0F0C84}"/>
                </c:ext>
              </c:extLst>
            </c:dLbl>
            <c:dLbl>
              <c:idx val="3"/>
              <c:layout>
                <c:manualLayout>
                  <c:x val="-0.18813166253674224"/>
                  <c:y val="-7.127115185886227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6A12-4D08-A729-1DB74D0F0C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Sheet2!$N$2:$N$6</c:f>
              <c:strCache>
                <c:ptCount val="4"/>
                <c:pt idx="0">
                  <c:v>East</c:v>
                </c:pt>
                <c:pt idx="1">
                  <c:v>North</c:v>
                </c:pt>
                <c:pt idx="2">
                  <c:v>South</c:v>
                </c:pt>
                <c:pt idx="3">
                  <c:v>West</c:v>
                </c:pt>
              </c:strCache>
            </c:strRef>
          </c:cat>
          <c:val>
            <c:numRef>
              <c:f>Sheet2!$O$2:$O$6</c:f>
              <c:numCache>
                <c:formatCode>General</c:formatCode>
                <c:ptCount val="4"/>
                <c:pt idx="0">
                  <c:v>137</c:v>
                </c:pt>
                <c:pt idx="1">
                  <c:v>200</c:v>
                </c:pt>
                <c:pt idx="2">
                  <c:v>101</c:v>
                </c:pt>
                <c:pt idx="3">
                  <c:v>127</c:v>
                </c:pt>
              </c:numCache>
            </c:numRef>
          </c:val>
          <c:extLst>
            <c:ext xmlns:c16="http://schemas.microsoft.com/office/drawing/2014/chart" uri="{C3380CC4-5D6E-409C-BE32-E72D297353CC}">
              <c16:uniqueId val="{00000008-6A12-4D08-A729-1DB74D0F0C84}"/>
            </c:ext>
          </c:extLst>
        </c:ser>
        <c:dLbls>
          <c:showLegendKey val="0"/>
          <c:showVal val="1"/>
          <c:showCatName val="1"/>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[pivot table - After format 1.xlsx]Sheet2!Total Sales for each region per Date </c:name>
    <c:fmtId val="4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a:t>
            </a:r>
            <a:r>
              <a:rPr lang="en-US" b="1" baseline="0">
                <a:solidFill>
                  <a:schemeClr val="tx1"/>
                </a:solidFill>
              </a:rPr>
              <a:t> sales for each Region per date </a:t>
            </a:r>
          </a:p>
          <a:p>
            <a:pPr>
              <a:defRPr b="1">
                <a:solidFill>
                  <a:schemeClr val="tx1"/>
                </a:solidFill>
              </a:defRPr>
            </a:pP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Sheet2!$CW$1</c:f>
              <c:strCache>
                <c:ptCount val="1"/>
                <c:pt idx="0">
                  <c:v>Total</c:v>
                </c:pt>
              </c:strCache>
            </c:strRef>
          </c:tx>
          <c:spPr>
            <a:ln w="28575" cap="rnd">
              <a:solidFill>
                <a:schemeClr val="accent3"/>
              </a:solidFill>
              <a:round/>
            </a:ln>
            <a:effectLst/>
          </c:spPr>
          <c:marker>
            <c:symbol val="none"/>
          </c:marker>
          <c:cat>
            <c:multiLvlStrRef>
              <c:f>Sheet2!$CV$2:$CV$46</c:f>
              <c:multiLvlStrCache>
                <c:ptCount val="40"/>
                <c:lvl>
                  <c:pt idx="0">
                    <c:v>Feb</c:v>
                  </c:pt>
                  <c:pt idx="1">
                    <c:v>Mar</c:v>
                  </c:pt>
                  <c:pt idx="2">
                    <c:v>Apr</c:v>
                  </c:pt>
                  <c:pt idx="3">
                    <c:v>May</c:v>
                  </c:pt>
                  <c:pt idx="4">
                    <c:v>Jun</c:v>
                  </c:pt>
                  <c:pt idx="5">
                    <c:v>Aug</c:v>
                  </c:pt>
                  <c:pt idx="6">
                    <c:v>Sep</c:v>
                  </c:pt>
                  <c:pt idx="7">
                    <c:v>Oct</c:v>
                  </c:pt>
                  <c:pt idx="8">
                    <c:v>Nov</c:v>
                  </c:pt>
                  <c:pt idx="9">
                    <c:v>Dec</c:v>
                  </c:pt>
                  <c:pt idx="10">
                    <c:v>Jan</c:v>
                  </c:pt>
                  <c:pt idx="11">
                    <c:v>Feb</c:v>
                  </c:pt>
                  <c:pt idx="12">
                    <c:v>Mar</c:v>
                  </c:pt>
                  <c:pt idx="13">
                    <c:v>Apr</c:v>
                  </c:pt>
                  <c:pt idx="14">
                    <c:v>May</c:v>
                  </c:pt>
                  <c:pt idx="15">
                    <c:v>Jun</c:v>
                  </c:pt>
                  <c:pt idx="16">
                    <c:v>Aug</c:v>
                  </c:pt>
                  <c:pt idx="17">
                    <c:v>Sep</c:v>
                  </c:pt>
                  <c:pt idx="18">
                    <c:v>Oct</c:v>
                  </c:pt>
                  <c:pt idx="19">
                    <c:v>Nov</c:v>
                  </c:pt>
                  <c:pt idx="20">
                    <c:v>Dec</c:v>
                  </c:pt>
                  <c:pt idx="21">
                    <c:v>Jan</c:v>
                  </c:pt>
                  <c:pt idx="22">
                    <c:v>Mar</c:v>
                  </c:pt>
                  <c:pt idx="23">
                    <c:v>Apr</c:v>
                  </c:pt>
                  <c:pt idx="24">
                    <c:v>May</c:v>
                  </c:pt>
                  <c:pt idx="25">
                    <c:v>Jun</c:v>
                  </c:pt>
                  <c:pt idx="26">
                    <c:v>Jul</c:v>
                  </c:pt>
                  <c:pt idx="27">
                    <c:v>Sep</c:v>
                  </c:pt>
                  <c:pt idx="28">
                    <c:v>Oct</c:v>
                  </c:pt>
                  <c:pt idx="29">
                    <c:v>Jan</c:v>
                  </c:pt>
                  <c:pt idx="30">
                    <c:v>Feb</c:v>
                  </c:pt>
                  <c:pt idx="31">
                    <c:v>Mar</c:v>
                  </c:pt>
                  <c:pt idx="32">
                    <c:v>Apr</c:v>
                  </c:pt>
                  <c:pt idx="33">
                    <c:v>May</c:v>
                  </c:pt>
                  <c:pt idx="34">
                    <c:v>Jul</c:v>
                  </c:pt>
                  <c:pt idx="35">
                    <c:v>Aug</c:v>
                  </c:pt>
                  <c:pt idx="36">
                    <c:v>Sep</c:v>
                  </c:pt>
                  <c:pt idx="37">
                    <c:v>Oct</c:v>
                  </c:pt>
                  <c:pt idx="38">
                    <c:v>Nov</c:v>
                  </c:pt>
                  <c:pt idx="39">
                    <c:v>Dec</c:v>
                  </c:pt>
                </c:lvl>
                <c:lvl>
                  <c:pt idx="0">
                    <c:v>East</c:v>
                  </c:pt>
                  <c:pt idx="10">
                    <c:v>North</c:v>
                  </c:pt>
                  <c:pt idx="21">
                    <c:v>South</c:v>
                  </c:pt>
                  <c:pt idx="29">
                    <c:v>West</c:v>
                  </c:pt>
                </c:lvl>
              </c:multiLvlStrCache>
            </c:multiLvlStrRef>
          </c:cat>
          <c:val>
            <c:numRef>
              <c:f>Sheet2!$CW$2:$CW$46</c:f>
              <c:numCache>
                <c:formatCode>[&gt;=1000000]0.##,,"M";[&gt;=1000]0.#,"K";0</c:formatCode>
                <c:ptCount val="40"/>
                <c:pt idx="0">
                  <c:v>14725</c:v>
                </c:pt>
                <c:pt idx="1">
                  <c:v>8250</c:v>
                </c:pt>
                <c:pt idx="2">
                  <c:v>17050</c:v>
                </c:pt>
                <c:pt idx="3">
                  <c:v>225</c:v>
                </c:pt>
                <c:pt idx="4">
                  <c:v>780</c:v>
                </c:pt>
                <c:pt idx="5">
                  <c:v>8625</c:v>
                </c:pt>
                <c:pt idx="6">
                  <c:v>5775</c:v>
                </c:pt>
                <c:pt idx="7">
                  <c:v>3600</c:v>
                </c:pt>
                <c:pt idx="8">
                  <c:v>7200</c:v>
                </c:pt>
                <c:pt idx="9">
                  <c:v>8250</c:v>
                </c:pt>
                <c:pt idx="10">
                  <c:v>1130</c:v>
                </c:pt>
                <c:pt idx="11">
                  <c:v>13900</c:v>
                </c:pt>
                <c:pt idx="12">
                  <c:v>1830</c:v>
                </c:pt>
                <c:pt idx="13">
                  <c:v>11680</c:v>
                </c:pt>
                <c:pt idx="14">
                  <c:v>800</c:v>
                </c:pt>
                <c:pt idx="15">
                  <c:v>10450</c:v>
                </c:pt>
                <c:pt idx="16">
                  <c:v>5835</c:v>
                </c:pt>
                <c:pt idx="17">
                  <c:v>4000</c:v>
                </c:pt>
                <c:pt idx="18">
                  <c:v>3350</c:v>
                </c:pt>
                <c:pt idx="19">
                  <c:v>7950</c:v>
                </c:pt>
                <c:pt idx="20">
                  <c:v>11165</c:v>
                </c:pt>
                <c:pt idx="21">
                  <c:v>5295</c:v>
                </c:pt>
                <c:pt idx="22">
                  <c:v>450</c:v>
                </c:pt>
                <c:pt idx="23">
                  <c:v>2370</c:v>
                </c:pt>
                <c:pt idx="24">
                  <c:v>11900</c:v>
                </c:pt>
                <c:pt idx="25">
                  <c:v>1750</c:v>
                </c:pt>
                <c:pt idx="26">
                  <c:v>19200</c:v>
                </c:pt>
                <c:pt idx="27">
                  <c:v>4400</c:v>
                </c:pt>
                <c:pt idx="28">
                  <c:v>935</c:v>
                </c:pt>
                <c:pt idx="29">
                  <c:v>10800</c:v>
                </c:pt>
                <c:pt idx="30">
                  <c:v>2775</c:v>
                </c:pt>
                <c:pt idx="31">
                  <c:v>7200</c:v>
                </c:pt>
                <c:pt idx="32">
                  <c:v>5600</c:v>
                </c:pt>
                <c:pt idx="33">
                  <c:v>2400</c:v>
                </c:pt>
                <c:pt idx="34">
                  <c:v>5950</c:v>
                </c:pt>
                <c:pt idx="35">
                  <c:v>12610</c:v>
                </c:pt>
                <c:pt idx="36">
                  <c:v>4000</c:v>
                </c:pt>
                <c:pt idx="37">
                  <c:v>5720</c:v>
                </c:pt>
                <c:pt idx="38">
                  <c:v>1100</c:v>
                </c:pt>
                <c:pt idx="39">
                  <c:v>1200</c:v>
                </c:pt>
              </c:numCache>
            </c:numRef>
          </c:val>
          <c:smooth val="0"/>
          <c:extLst>
            <c:ext xmlns:c16="http://schemas.microsoft.com/office/drawing/2014/chart" uri="{C3380CC4-5D6E-409C-BE32-E72D297353CC}">
              <c16:uniqueId val="{00000000-F8F3-4D70-8983-B532990D0328}"/>
            </c:ext>
          </c:extLst>
        </c:ser>
        <c:dLbls>
          <c:showLegendKey val="0"/>
          <c:showVal val="0"/>
          <c:showCatName val="0"/>
          <c:showSerName val="0"/>
          <c:showPercent val="0"/>
          <c:showBubbleSize val="0"/>
        </c:dLbls>
        <c:smooth val="0"/>
        <c:axId val="711677256"/>
        <c:axId val="711677616"/>
      </c:lineChart>
      <c:catAx>
        <c:axId val="711677256"/>
        <c:scaling>
          <c:orientation val="minMax"/>
        </c:scaling>
        <c:delete val="0"/>
        <c:axPos val="b"/>
        <c:numFmt formatCode="General" sourceLinked="1"/>
        <c:majorTickMark val="none"/>
        <c:minorTickMark val="none"/>
        <c:tickLblPos val="nextTo"/>
        <c:spPr>
          <a:noFill/>
          <a:ln w="9525" cap="flat" cmpd="sng" algn="ctr">
            <a:solidFill>
              <a:srgbClr val="FDFAF6"/>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1677616"/>
        <c:crosses val="autoZero"/>
        <c:auto val="1"/>
        <c:lblAlgn val="ctr"/>
        <c:lblOffset val="100"/>
        <c:noMultiLvlLbl val="0"/>
      </c:catAx>
      <c:valAx>
        <c:axId val="711677616"/>
        <c:scaling>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1677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DFAF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[pivot table - After format 1.xlsx]Sheet2!count of order and total sales prodct</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Count</a:t>
            </a:r>
            <a:r>
              <a:rPr lang="en-US" sz="1200" b="1" baseline="0">
                <a:solidFill>
                  <a:schemeClr val="tx1"/>
                </a:solidFill>
              </a:rPr>
              <a:t> of order and total sales</a:t>
            </a:r>
            <a:r>
              <a:rPr lang="en-US" sz="1050" b="1" i="0" u="none" strike="noStrike" kern="1200" spc="0" baseline="0">
                <a:solidFill>
                  <a:schemeClr val="tx1"/>
                </a:solidFill>
              </a:rPr>
              <a:t>(percentage) </a:t>
            </a:r>
            <a:r>
              <a:rPr lang="en-US" sz="1200" b="1" baseline="0">
                <a:solidFill>
                  <a:schemeClr val="tx1"/>
                </a:solidFill>
              </a:rPr>
              <a:t> per  product</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1"/>
          <c:tx>
            <c:strRef>
              <c:f>Sheet2!$CP$1</c:f>
              <c:strCache>
                <c:ptCount val="1"/>
                <c:pt idx="0">
                  <c:v>Sum of Total Sales</c:v>
                </c:pt>
              </c:strCache>
            </c:strRef>
          </c:tx>
          <c:spPr>
            <a:solidFill>
              <a:schemeClr val="accent3">
                <a:tint val="77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Sheet2!$CN$2:$CN$12</c:f>
              <c:strCache>
                <c:ptCount val="10"/>
                <c:pt idx="0">
                  <c:v>Chair</c:v>
                </c:pt>
                <c:pt idx="1">
                  <c:v>Desk</c:v>
                </c:pt>
                <c:pt idx="2">
                  <c:v>Headphones</c:v>
                </c:pt>
                <c:pt idx="3">
                  <c:v>Keyboard</c:v>
                </c:pt>
                <c:pt idx="4">
                  <c:v>Laptop</c:v>
                </c:pt>
                <c:pt idx="5">
                  <c:v>Monitor</c:v>
                </c:pt>
                <c:pt idx="6">
                  <c:v>Mouse</c:v>
                </c:pt>
                <c:pt idx="7">
                  <c:v>Phone</c:v>
                </c:pt>
                <c:pt idx="8">
                  <c:v>Printer</c:v>
                </c:pt>
                <c:pt idx="9">
                  <c:v>Tablet</c:v>
                </c:pt>
              </c:strCache>
            </c:strRef>
          </c:cat>
          <c:val>
            <c:numRef>
              <c:f>Sheet2!$CP$2:$CP$12</c:f>
              <c:numCache>
                <c:formatCode>0.00%</c:formatCode>
                <c:ptCount val="10"/>
                <c:pt idx="0">
                  <c:v>0.13598969174348299</c:v>
                </c:pt>
                <c:pt idx="1">
                  <c:v>0.10902963623748638</c:v>
                </c:pt>
                <c:pt idx="2">
                  <c:v>3.2352066607195959E-2</c:v>
                </c:pt>
                <c:pt idx="3">
                  <c:v>1.0110020814748736E-2</c:v>
                </c:pt>
                <c:pt idx="4">
                  <c:v>0.28545941123996432</c:v>
                </c:pt>
                <c:pt idx="5">
                  <c:v>2.9735355337496282E-2</c:v>
                </c:pt>
                <c:pt idx="6">
                  <c:v>1.0169491525423728E-2</c:v>
                </c:pt>
                <c:pt idx="7">
                  <c:v>0.23788284269997026</c:v>
                </c:pt>
                <c:pt idx="8">
                  <c:v>2.0814748736247397E-2</c:v>
                </c:pt>
                <c:pt idx="9">
                  <c:v>0.12845673505798394</c:v>
                </c:pt>
              </c:numCache>
            </c:numRef>
          </c:val>
          <c:extLst>
            <c:ext xmlns:c16="http://schemas.microsoft.com/office/drawing/2014/chart" uri="{C3380CC4-5D6E-409C-BE32-E72D297353CC}">
              <c16:uniqueId val="{00000004-11C5-47D5-8AAB-280C12D2086E}"/>
            </c:ext>
          </c:extLst>
        </c:ser>
        <c:dLbls>
          <c:showLegendKey val="0"/>
          <c:showVal val="0"/>
          <c:showCatName val="0"/>
          <c:showSerName val="0"/>
          <c:showPercent val="0"/>
          <c:showBubbleSize val="0"/>
        </c:dLbls>
        <c:gapWidth val="0"/>
        <c:axId val="711655296"/>
        <c:axId val="711655656"/>
      </c:barChart>
      <c:barChart>
        <c:barDir val="bar"/>
        <c:grouping val="clustered"/>
        <c:varyColors val="0"/>
        <c:ser>
          <c:idx val="0"/>
          <c:order val="0"/>
          <c:tx>
            <c:strRef>
              <c:f>Sheet2!$CO$1</c:f>
              <c:strCache>
                <c:ptCount val="1"/>
                <c:pt idx="0">
                  <c:v>Count of Order ID</c:v>
                </c:pt>
              </c:strCache>
            </c:strRef>
          </c:tx>
          <c:spPr>
            <a:solidFill>
              <a:schemeClr val="accent3">
                <a:shade val="76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Sheet2!$CN$2:$CN$12</c:f>
              <c:strCache>
                <c:ptCount val="10"/>
                <c:pt idx="0">
                  <c:v>Chair</c:v>
                </c:pt>
                <c:pt idx="1">
                  <c:v>Desk</c:v>
                </c:pt>
                <c:pt idx="2">
                  <c:v>Headphones</c:v>
                </c:pt>
                <c:pt idx="3">
                  <c:v>Keyboard</c:v>
                </c:pt>
                <c:pt idx="4">
                  <c:v>Laptop</c:v>
                </c:pt>
                <c:pt idx="5">
                  <c:v>Monitor</c:v>
                </c:pt>
                <c:pt idx="6">
                  <c:v>Mouse</c:v>
                </c:pt>
                <c:pt idx="7">
                  <c:v>Phone</c:v>
                </c:pt>
                <c:pt idx="8">
                  <c:v>Printer</c:v>
                </c:pt>
                <c:pt idx="9">
                  <c:v>Tablet</c:v>
                </c:pt>
              </c:strCache>
            </c:strRef>
          </c:cat>
          <c:val>
            <c:numRef>
              <c:f>Sheet2!$CO$2:$CO$12</c:f>
              <c:numCache>
                <c:formatCode>General</c:formatCode>
                <c:ptCount val="10"/>
                <c:pt idx="0">
                  <c:v>14</c:v>
                </c:pt>
                <c:pt idx="1">
                  <c:v>9</c:v>
                </c:pt>
                <c:pt idx="2">
                  <c:v>11</c:v>
                </c:pt>
                <c:pt idx="3">
                  <c:v>8</c:v>
                </c:pt>
                <c:pt idx="4">
                  <c:v>11</c:v>
                </c:pt>
                <c:pt idx="5">
                  <c:v>5</c:v>
                </c:pt>
                <c:pt idx="6">
                  <c:v>11</c:v>
                </c:pt>
                <c:pt idx="7">
                  <c:v>14</c:v>
                </c:pt>
                <c:pt idx="8">
                  <c:v>5</c:v>
                </c:pt>
                <c:pt idx="9">
                  <c:v>12</c:v>
                </c:pt>
              </c:numCache>
            </c:numRef>
          </c:val>
          <c:extLst>
            <c:ext xmlns:c16="http://schemas.microsoft.com/office/drawing/2014/chart" uri="{C3380CC4-5D6E-409C-BE32-E72D297353CC}">
              <c16:uniqueId val="{00000003-11C5-47D5-8AAB-280C12D2086E}"/>
            </c:ext>
          </c:extLst>
        </c:ser>
        <c:dLbls>
          <c:showLegendKey val="0"/>
          <c:showVal val="0"/>
          <c:showCatName val="0"/>
          <c:showSerName val="0"/>
          <c:showPercent val="0"/>
          <c:showBubbleSize val="0"/>
        </c:dLbls>
        <c:gapWidth val="37"/>
        <c:axId val="952305104"/>
        <c:axId val="952302224"/>
      </c:barChart>
      <c:catAx>
        <c:axId val="7116552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11655656"/>
        <c:crosses val="autoZero"/>
        <c:auto val="1"/>
        <c:lblAlgn val="ctr"/>
        <c:lblOffset val="100"/>
        <c:noMultiLvlLbl val="0"/>
      </c:catAx>
      <c:valAx>
        <c:axId val="711655656"/>
        <c:scaling>
          <c:orientation val="minMax"/>
        </c:scaling>
        <c:delete val="1"/>
        <c:axPos val="b"/>
        <c:numFmt formatCode="0.00%" sourceLinked="1"/>
        <c:majorTickMark val="out"/>
        <c:minorTickMark val="none"/>
        <c:tickLblPos val="nextTo"/>
        <c:crossAx val="711655296"/>
        <c:crosses val="autoZero"/>
        <c:crossBetween val="between"/>
      </c:valAx>
      <c:valAx>
        <c:axId val="952302224"/>
        <c:scaling>
          <c:orientation val="minMax"/>
        </c:scaling>
        <c:delete val="1"/>
        <c:axPos val="t"/>
        <c:numFmt formatCode="General" sourceLinked="1"/>
        <c:majorTickMark val="out"/>
        <c:minorTickMark val="none"/>
        <c:tickLblPos val="nextTo"/>
        <c:crossAx val="952305104"/>
        <c:crosses val="max"/>
        <c:crossBetween val="between"/>
      </c:valAx>
      <c:catAx>
        <c:axId val="952305104"/>
        <c:scaling>
          <c:orientation val="minMax"/>
        </c:scaling>
        <c:delete val="1"/>
        <c:axPos val="l"/>
        <c:numFmt formatCode="General" sourceLinked="1"/>
        <c:majorTickMark val="out"/>
        <c:minorTickMark val="none"/>
        <c:tickLblPos val="nextTo"/>
        <c:crossAx val="952302224"/>
        <c:crosses val="autoZero"/>
        <c:auto val="1"/>
        <c:lblAlgn val="ctr"/>
        <c:lblOffset val="100"/>
        <c:noMultiLvlLbl val="0"/>
      </c:catAx>
      <c:spPr>
        <a:noFill/>
        <a:ln>
          <a:noFill/>
        </a:ln>
        <a:effectLst/>
      </c:spPr>
    </c:plotArea>
    <c:legend>
      <c:legendPos val="t"/>
      <c:layout>
        <c:manualLayout>
          <c:xMode val="edge"/>
          <c:yMode val="edge"/>
          <c:x val="0.21069322734564366"/>
          <c:y val="0.130154936607079"/>
          <c:w val="0.6603710859449804"/>
          <c:h val="4.3428614040893189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[pivot table - After format 1.xlsx]Sheet2!PivotTable3</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Best</a:t>
            </a:r>
            <a:r>
              <a:rPr lang="en-US" b="1" baseline="0">
                <a:solidFill>
                  <a:sysClr val="windowText" lastClr="000000"/>
                </a:solidFill>
              </a:rPr>
              <a:t> sales product for each category dy Total sales</a:t>
            </a:r>
            <a:endParaRPr lang="en-US" b="1">
              <a:solidFill>
                <a:sysClr val="windowText" lastClr="000000"/>
              </a:solidFill>
            </a:endParaRPr>
          </a:p>
        </c:rich>
      </c:tx>
      <c:layout>
        <c:manualLayout>
          <c:xMode val="edge"/>
          <c:yMode val="edge"/>
          <c:x val="0.1689809628226851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marker>
          <c:spPr>
            <a:solidFill>
              <a:schemeClr val="accent3"/>
            </a:solidFill>
            <a:ln w="9525">
              <a:solidFill>
                <a:schemeClr val="accent3"/>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3"/>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3">
              <a:tint val="43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56"/>
        <c:spPr>
          <a:solidFill>
            <a:schemeClr val="accent3">
              <a:tint val="56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3">
              <a:tint val="69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58"/>
        <c:spPr>
          <a:solidFill>
            <a:schemeClr val="accent3">
              <a:tint val="81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59"/>
        <c:spPr>
          <a:solidFill>
            <a:schemeClr val="accent3">
              <a:tint val="94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0"/>
        <c:spPr>
          <a:solidFill>
            <a:schemeClr val="accent3">
              <a:shade val="93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1"/>
        <c:spPr>
          <a:solidFill>
            <a:schemeClr val="accent3">
              <a:shade val="8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2"/>
        <c:spPr>
          <a:solidFill>
            <a:schemeClr val="accent3">
              <a:shade val="68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3"/>
        <c:spPr>
          <a:solidFill>
            <a:schemeClr val="accent3">
              <a:shade val="5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4"/>
        <c:spPr>
          <a:solidFill>
            <a:schemeClr val="accent3">
              <a:shade val="42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5"/>
        <c:spPr>
          <a:solidFill>
            <a:schemeClr val="accent3">
              <a:tint val="56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eparator>
</c:separator>
          <c:extLst>
            <c:ext xmlns:c15="http://schemas.microsoft.com/office/drawing/2012/chart" uri="{CE6537A1-D6FC-4f65-9D91-7224C49458BB}"/>
          </c:extLst>
        </c:dLbl>
      </c:pivotFmt>
      <c:pivotFmt>
        <c:idx val="6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6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3">
              <a:tint val="56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separator>
</c:separator>
          <c:extLst>
            <c:ext xmlns:c15="http://schemas.microsoft.com/office/drawing/2012/chart" uri="{CE6537A1-D6FC-4f65-9D91-7224C49458BB}"/>
          </c:extLst>
        </c:dLbl>
      </c:pivotFmt>
      <c:pivotFmt>
        <c:idx val="6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7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7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7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7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7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7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7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Lst>
        </c:dLbl>
      </c:pivotFmt>
      <c:pivotFmt>
        <c:idx val="7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7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8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8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8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8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8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8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2.532593315730269E-2"/>
          <c:y val="0.12006978195941603"/>
          <c:w val="0.93323163076711113"/>
          <c:h val="0.8050904940178335"/>
        </c:manualLayout>
      </c:layout>
      <c:barChart>
        <c:barDir val="col"/>
        <c:grouping val="percentStacked"/>
        <c:varyColors val="0"/>
        <c:ser>
          <c:idx val="0"/>
          <c:order val="0"/>
          <c:tx>
            <c:strRef>
              <c:f>Sheet2!$DA$3:$DA$4</c:f>
              <c:strCache>
                <c:ptCount val="1"/>
                <c:pt idx="0">
                  <c:v>Chair</c:v>
                </c:pt>
              </c:strCache>
            </c:strRef>
          </c:tx>
          <c:spPr>
            <a:solidFill>
              <a:schemeClr val="accent3">
                <a:tint val="4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cat>
            <c:strRef>
              <c:f>Sheet2!$CZ$5:$CZ$8</c:f>
              <c:strCache>
                <c:ptCount val="3"/>
                <c:pt idx="0">
                  <c:v>Accessories</c:v>
                </c:pt>
                <c:pt idx="1">
                  <c:v>Electronics</c:v>
                </c:pt>
                <c:pt idx="2">
                  <c:v>Furniture</c:v>
                </c:pt>
              </c:strCache>
            </c:strRef>
          </c:cat>
          <c:val>
            <c:numRef>
              <c:f>Sheet2!$DA$5:$DA$8</c:f>
              <c:numCache>
                <c:formatCode>[&gt;=1000000]0.##,,"M";[&gt;=1000]0.#,"K";0</c:formatCode>
                <c:ptCount val="3"/>
                <c:pt idx="2">
                  <c:v>34300</c:v>
                </c:pt>
              </c:numCache>
            </c:numRef>
          </c:val>
          <c:extLst>
            <c:ext xmlns:c16="http://schemas.microsoft.com/office/drawing/2014/chart" uri="{C3380CC4-5D6E-409C-BE32-E72D297353CC}">
              <c16:uniqueId val="{00000000-0D87-4E09-882F-DA50197C98DA}"/>
            </c:ext>
          </c:extLst>
        </c:ser>
        <c:ser>
          <c:idx val="1"/>
          <c:order val="1"/>
          <c:tx>
            <c:strRef>
              <c:f>Sheet2!$DB$3:$DB$4</c:f>
              <c:strCache>
                <c:ptCount val="1"/>
                <c:pt idx="0">
                  <c:v>Desk</c:v>
                </c:pt>
              </c:strCache>
            </c:strRef>
          </c:tx>
          <c:spPr>
            <a:solidFill>
              <a:schemeClr val="accent3">
                <a:tint val="56000"/>
              </a:schemeClr>
            </a:solidFill>
            <a:ln>
              <a:noFill/>
            </a:ln>
            <a:effectLst/>
          </c:spPr>
          <c:invertIfNegative val="0"/>
          <c:dPt>
            <c:idx val="2"/>
            <c:invertIfNegative val="0"/>
            <c:bubble3D val="0"/>
            <c:extLst>
              <c:ext xmlns:c16="http://schemas.microsoft.com/office/drawing/2014/chart" uri="{C3380CC4-5D6E-409C-BE32-E72D297353CC}">
                <c16:uniqueId val="{00000000-5B14-45E5-A774-722FB07EB781}"/>
              </c:ext>
            </c:extLst>
          </c:dPt>
          <c:dLbls>
            <c:dLbl>
              <c:idx val="2"/>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5B14-45E5-A774-722FB07EB78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Sheet2!$DB$5:$DB$8</c:f>
              <c:numCache>
                <c:formatCode>[&gt;=1000000]0.##,,"M";[&gt;=1000]0.#,"K";0</c:formatCode>
                <c:ptCount val="3"/>
                <c:pt idx="2">
                  <c:v>27500</c:v>
                </c:pt>
              </c:numCache>
            </c:numRef>
          </c:val>
          <c:extLst>
            <c:ext xmlns:c16="http://schemas.microsoft.com/office/drawing/2014/chart" uri="{C3380CC4-5D6E-409C-BE32-E72D297353CC}">
              <c16:uniqueId val="{0000004C-0D87-4E09-882F-DA50197C98DA}"/>
            </c:ext>
          </c:extLst>
        </c:ser>
        <c:ser>
          <c:idx val="2"/>
          <c:order val="2"/>
          <c:tx>
            <c:strRef>
              <c:f>Sheet2!$DC$3:$DC$4</c:f>
              <c:strCache>
                <c:ptCount val="1"/>
                <c:pt idx="0">
                  <c:v>Headphones</c:v>
                </c:pt>
              </c:strCache>
            </c:strRef>
          </c:tx>
          <c:spPr>
            <a:solidFill>
              <a:schemeClr val="accent3">
                <a:tint val="69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Sheet2!$DC$5:$DC$8</c:f>
              <c:numCache>
                <c:formatCode>[&gt;=1000000]0.##,,"M";[&gt;=1000]0.#,"K";0</c:formatCode>
                <c:ptCount val="3"/>
                <c:pt idx="0">
                  <c:v>8160</c:v>
                </c:pt>
              </c:numCache>
            </c:numRef>
          </c:val>
          <c:extLst>
            <c:ext xmlns:c16="http://schemas.microsoft.com/office/drawing/2014/chart" uri="{C3380CC4-5D6E-409C-BE32-E72D297353CC}">
              <c16:uniqueId val="{0000004D-0D87-4E09-882F-DA50197C98DA}"/>
            </c:ext>
          </c:extLst>
        </c:ser>
        <c:ser>
          <c:idx val="3"/>
          <c:order val="3"/>
          <c:tx>
            <c:strRef>
              <c:f>Sheet2!$DD$3:$DD$4</c:f>
              <c:strCache>
                <c:ptCount val="1"/>
                <c:pt idx="0">
                  <c:v>Keyboard</c:v>
                </c:pt>
              </c:strCache>
            </c:strRef>
          </c:tx>
          <c:spPr>
            <a:solidFill>
              <a:schemeClr val="accent3">
                <a:tint val="81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Sheet2!$DD$5:$DD$8</c:f>
              <c:numCache>
                <c:formatCode>[&gt;=1000000]0.##,,"M";[&gt;=1000]0.#,"K";0</c:formatCode>
                <c:ptCount val="3"/>
                <c:pt idx="0">
                  <c:v>2550</c:v>
                </c:pt>
              </c:numCache>
            </c:numRef>
          </c:val>
          <c:extLst>
            <c:ext xmlns:c16="http://schemas.microsoft.com/office/drawing/2014/chart" uri="{C3380CC4-5D6E-409C-BE32-E72D297353CC}">
              <c16:uniqueId val="{0000004E-0D87-4E09-882F-DA50197C98DA}"/>
            </c:ext>
          </c:extLst>
        </c:ser>
        <c:ser>
          <c:idx val="4"/>
          <c:order val="4"/>
          <c:tx>
            <c:strRef>
              <c:f>Sheet2!$DE$3:$DE$4</c:f>
              <c:strCache>
                <c:ptCount val="1"/>
                <c:pt idx="0">
                  <c:v>Laptop</c:v>
                </c:pt>
              </c:strCache>
            </c:strRef>
          </c:tx>
          <c:spPr>
            <a:solidFill>
              <a:schemeClr val="accent3">
                <a:tint val="9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Sheet2!$DE$5:$DE$8</c:f>
              <c:numCache>
                <c:formatCode>[&gt;=1000000]0.##,,"M";[&gt;=1000]0.#,"K";0</c:formatCode>
                <c:ptCount val="3"/>
                <c:pt idx="1">
                  <c:v>72000</c:v>
                </c:pt>
              </c:numCache>
            </c:numRef>
          </c:val>
          <c:extLst>
            <c:ext xmlns:c16="http://schemas.microsoft.com/office/drawing/2014/chart" uri="{C3380CC4-5D6E-409C-BE32-E72D297353CC}">
              <c16:uniqueId val="{0000004F-0D87-4E09-882F-DA50197C98DA}"/>
            </c:ext>
          </c:extLst>
        </c:ser>
        <c:ser>
          <c:idx val="5"/>
          <c:order val="5"/>
          <c:tx>
            <c:strRef>
              <c:f>Sheet2!$DF$3:$DF$4</c:f>
              <c:strCache>
                <c:ptCount val="1"/>
                <c:pt idx="0">
                  <c:v>Monitor</c:v>
                </c:pt>
              </c:strCache>
            </c:strRef>
          </c:tx>
          <c:spPr>
            <a:solidFill>
              <a:schemeClr val="accent3">
                <a:shade val="9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Sheet2!$DF$5:$DF$8</c:f>
              <c:numCache>
                <c:formatCode>[&gt;=1000000]0.##,,"M";[&gt;=1000]0.#,"K";0</c:formatCode>
                <c:ptCount val="3"/>
                <c:pt idx="1">
                  <c:v>7500</c:v>
                </c:pt>
              </c:numCache>
            </c:numRef>
          </c:val>
          <c:extLst>
            <c:ext xmlns:c16="http://schemas.microsoft.com/office/drawing/2014/chart" uri="{C3380CC4-5D6E-409C-BE32-E72D297353CC}">
              <c16:uniqueId val="{00000050-0D87-4E09-882F-DA50197C98DA}"/>
            </c:ext>
          </c:extLst>
        </c:ser>
        <c:ser>
          <c:idx val="6"/>
          <c:order val="6"/>
          <c:tx>
            <c:strRef>
              <c:f>Sheet2!$DG$3:$DG$4</c:f>
              <c:strCache>
                <c:ptCount val="1"/>
                <c:pt idx="0">
                  <c:v>Mouse</c:v>
                </c:pt>
              </c:strCache>
            </c:strRef>
          </c:tx>
          <c:spPr>
            <a:solidFill>
              <a:schemeClr val="accent3">
                <a:shade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Sheet2!$DG$5:$DG$8</c:f>
              <c:numCache>
                <c:formatCode>[&gt;=1000000]0.##,,"M";[&gt;=1000]0.#,"K";0</c:formatCode>
                <c:ptCount val="3"/>
                <c:pt idx="0">
                  <c:v>2565</c:v>
                </c:pt>
              </c:numCache>
            </c:numRef>
          </c:val>
          <c:extLst>
            <c:ext xmlns:c16="http://schemas.microsoft.com/office/drawing/2014/chart" uri="{C3380CC4-5D6E-409C-BE32-E72D297353CC}">
              <c16:uniqueId val="{00000051-0D87-4E09-882F-DA50197C98DA}"/>
            </c:ext>
          </c:extLst>
        </c:ser>
        <c:ser>
          <c:idx val="7"/>
          <c:order val="7"/>
          <c:tx>
            <c:strRef>
              <c:f>Sheet2!$DH$3:$DH$4</c:f>
              <c:strCache>
                <c:ptCount val="1"/>
                <c:pt idx="0">
                  <c:v>Phone</c:v>
                </c:pt>
              </c:strCache>
            </c:strRef>
          </c:tx>
          <c:spPr>
            <a:solidFill>
              <a:schemeClr val="accent3">
                <a:shade val="6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Sheet2!$DH$5:$DH$8</c:f>
              <c:numCache>
                <c:formatCode>[&gt;=1000000]0.##,,"M";[&gt;=1000]0.#,"K";0</c:formatCode>
                <c:ptCount val="3"/>
                <c:pt idx="1">
                  <c:v>60000</c:v>
                </c:pt>
              </c:numCache>
            </c:numRef>
          </c:val>
          <c:extLst>
            <c:ext xmlns:c16="http://schemas.microsoft.com/office/drawing/2014/chart" uri="{C3380CC4-5D6E-409C-BE32-E72D297353CC}">
              <c16:uniqueId val="{00000052-0D87-4E09-882F-DA50197C98DA}"/>
            </c:ext>
          </c:extLst>
        </c:ser>
        <c:ser>
          <c:idx val="8"/>
          <c:order val="8"/>
          <c:tx>
            <c:strRef>
              <c:f>Sheet2!$DI$3:$DI$4</c:f>
              <c:strCache>
                <c:ptCount val="1"/>
                <c:pt idx="0">
                  <c:v>Printer</c:v>
                </c:pt>
              </c:strCache>
            </c:strRef>
          </c:tx>
          <c:spPr>
            <a:solidFill>
              <a:schemeClr val="accent3">
                <a:shade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Sheet2!$DI$5:$DI$8</c:f>
              <c:numCache>
                <c:formatCode>[&gt;=1000000]0.##,,"M";[&gt;=1000]0.#,"K";0</c:formatCode>
                <c:ptCount val="3"/>
                <c:pt idx="1">
                  <c:v>5250</c:v>
                </c:pt>
              </c:numCache>
            </c:numRef>
          </c:val>
          <c:extLst>
            <c:ext xmlns:c16="http://schemas.microsoft.com/office/drawing/2014/chart" uri="{C3380CC4-5D6E-409C-BE32-E72D297353CC}">
              <c16:uniqueId val="{00000053-0D87-4E09-882F-DA50197C98DA}"/>
            </c:ext>
          </c:extLst>
        </c:ser>
        <c:ser>
          <c:idx val="9"/>
          <c:order val="9"/>
          <c:tx>
            <c:strRef>
              <c:f>Sheet2!$DJ$3:$DJ$4</c:f>
              <c:strCache>
                <c:ptCount val="1"/>
                <c:pt idx="0">
                  <c:v>Tablet</c:v>
                </c:pt>
              </c:strCache>
            </c:strRef>
          </c:tx>
          <c:spPr>
            <a:solidFill>
              <a:schemeClr val="accent3">
                <a:shade val="42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Sheet2!$CZ$5:$CZ$8</c:f>
              <c:strCache>
                <c:ptCount val="3"/>
                <c:pt idx="0">
                  <c:v>Accessories</c:v>
                </c:pt>
                <c:pt idx="1">
                  <c:v>Electronics</c:v>
                </c:pt>
                <c:pt idx="2">
                  <c:v>Furniture</c:v>
                </c:pt>
              </c:strCache>
            </c:strRef>
          </c:cat>
          <c:val>
            <c:numRef>
              <c:f>Sheet2!$DJ$5:$DJ$8</c:f>
              <c:numCache>
                <c:formatCode>[&gt;=1000000]0.##,,"M";[&gt;=1000]0.#,"K";0</c:formatCode>
                <c:ptCount val="3"/>
                <c:pt idx="1">
                  <c:v>32400</c:v>
                </c:pt>
              </c:numCache>
            </c:numRef>
          </c:val>
          <c:extLst>
            <c:ext xmlns:c16="http://schemas.microsoft.com/office/drawing/2014/chart" uri="{C3380CC4-5D6E-409C-BE32-E72D297353CC}">
              <c16:uniqueId val="{00000054-0D87-4E09-882F-DA50197C98DA}"/>
            </c:ext>
          </c:extLst>
        </c:ser>
        <c:dLbls>
          <c:showLegendKey val="0"/>
          <c:showVal val="1"/>
          <c:showCatName val="0"/>
          <c:showSerName val="0"/>
          <c:showPercent val="0"/>
          <c:showBubbleSize val="0"/>
        </c:dLbls>
        <c:gapWidth val="150"/>
        <c:overlap val="100"/>
        <c:axId val="866241864"/>
        <c:axId val="866239344"/>
      </c:barChart>
      <c:catAx>
        <c:axId val="866241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866239344"/>
        <c:crosses val="autoZero"/>
        <c:auto val="1"/>
        <c:lblAlgn val="ctr"/>
        <c:lblOffset val="100"/>
        <c:noMultiLvlLbl val="0"/>
      </c:catAx>
      <c:valAx>
        <c:axId val="866239344"/>
        <c:scaling>
          <c:orientation val="minMax"/>
        </c:scaling>
        <c:delete val="1"/>
        <c:axPos val="l"/>
        <c:numFmt formatCode="0%" sourceLinked="1"/>
        <c:majorTickMark val="none"/>
        <c:minorTickMark val="none"/>
        <c:tickLblPos val="nextTo"/>
        <c:crossAx val="866241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[pivot table - After format 1.xlsx]Sheet2!Sum of Q per Date for each sales rep</c:name>
    <c:fmtId val="4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Sum of Q per Date for each sales rep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Sheet2!$AO$3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Sheet2!$AM$4:$AN$11</c:f>
              <c:strCache>
                <c:ptCount val="8"/>
                <c:pt idx="0">
                  <c:v>Anna Davis</c:v>
                </c:pt>
                <c:pt idx="1">
                  <c:v>David Wilson</c:v>
                </c:pt>
                <c:pt idx="2">
                  <c:v>Emma Taylor</c:v>
                </c:pt>
                <c:pt idx="3">
                  <c:v>John Smith</c:v>
                </c:pt>
                <c:pt idx="4">
                  <c:v>Lisa Garcia</c:v>
                </c:pt>
                <c:pt idx="5">
                  <c:v>Mike Brown</c:v>
                </c:pt>
                <c:pt idx="6">
                  <c:v>Sarah Johnson</c:v>
                </c:pt>
                <c:pt idx="7">
                  <c:v>Tom Anderson</c:v>
                </c:pt>
              </c:strCache>
            </c:strRef>
          </c:cat>
          <c:val>
            <c:numRef>
              <c:f>Sheet2!$AO$4:$AO$11</c:f>
              <c:numCache>
                <c:formatCode>General</c:formatCode>
                <c:ptCount val="8"/>
                <c:pt idx="0">
                  <c:v>13</c:v>
                </c:pt>
                <c:pt idx="1">
                  <c:v>9</c:v>
                </c:pt>
                <c:pt idx="2">
                  <c:v>70</c:v>
                </c:pt>
                <c:pt idx="3">
                  <c:v>40</c:v>
                </c:pt>
                <c:pt idx="4">
                  <c:v>25</c:v>
                </c:pt>
                <c:pt idx="5">
                  <c:v>52</c:v>
                </c:pt>
                <c:pt idx="6">
                  <c:v>39</c:v>
                </c:pt>
                <c:pt idx="7">
                  <c:v>16</c:v>
                </c:pt>
              </c:numCache>
            </c:numRef>
          </c:val>
          <c:extLst>
            <c:ext xmlns:c16="http://schemas.microsoft.com/office/drawing/2014/chart" uri="{C3380CC4-5D6E-409C-BE32-E72D297353CC}">
              <c16:uniqueId val="{00000005-C4B6-45EB-88E7-D0CFC5B5B340}"/>
            </c:ext>
          </c:extLst>
        </c:ser>
        <c:dLbls>
          <c:dLblPos val="outEnd"/>
          <c:showLegendKey val="0"/>
          <c:showVal val="1"/>
          <c:showCatName val="0"/>
          <c:showSerName val="0"/>
          <c:showPercent val="0"/>
          <c:showBubbleSize val="0"/>
        </c:dLbls>
        <c:gapWidth val="219"/>
        <c:overlap val="-27"/>
        <c:axId val="517224408"/>
        <c:axId val="517222968"/>
      </c:barChart>
      <c:catAx>
        <c:axId val="51722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517222968"/>
        <c:crosses val="autoZero"/>
        <c:auto val="1"/>
        <c:lblAlgn val="ctr"/>
        <c:lblOffset val="100"/>
        <c:noMultiLvlLbl val="0"/>
      </c:catAx>
      <c:valAx>
        <c:axId val="517222968"/>
        <c:scaling>
          <c:orientation val="minMax"/>
        </c:scaling>
        <c:delete val="1"/>
        <c:axPos val="l"/>
        <c:numFmt formatCode="General" sourceLinked="1"/>
        <c:majorTickMark val="none"/>
        <c:minorTickMark val="none"/>
        <c:tickLblPos val="nextTo"/>
        <c:crossAx val="517224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[pivot table - After format 1.xlsx]Sheet2!time ser</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Time</a:t>
            </a:r>
            <a:r>
              <a:rPr lang="en-US" b="1" baseline="0">
                <a:solidFill>
                  <a:schemeClr val="tx1"/>
                </a:solidFill>
              </a:rPr>
              <a:t> Series for each sales rep by Sum of Quantity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28575" cap="rnd">
            <a:solidFill>
              <a:schemeClr val="accent3"/>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28575" cap="rnd">
            <a:solidFill>
              <a:schemeClr val="accent3"/>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w="28575" cap="rnd">
            <a:solidFill>
              <a:schemeClr val="accent3"/>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w="28575" cap="rnd">
            <a:solidFill>
              <a:schemeClr val="accent3"/>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w="28575" cap="rnd">
            <a:solidFill>
              <a:schemeClr val="accent3"/>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Sheet2!$AK$41</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Sheet2!$AJ$42:$AJ$79</c:f>
              <c:strCache>
                <c:ptCount val="38"/>
                <c:pt idx="0">
                  <c:v>1/5/2024</c:v>
                </c:pt>
                <c:pt idx="1">
                  <c:v>1/6/2024</c:v>
                </c:pt>
                <c:pt idx="2">
                  <c:v>1/12/2024</c:v>
                </c:pt>
                <c:pt idx="3">
                  <c:v>1/15/2024</c:v>
                </c:pt>
                <c:pt idx="4">
                  <c:v>1/16/2024</c:v>
                </c:pt>
                <c:pt idx="5">
                  <c:v>1/23/2024</c:v>
                </c:pt>
                <c:pt idx="6">
                  <c:v>1/27/2024</c:v>
                </c:pt>
                <c:pt idx="7">
                  <c:v>2/2/2024</c:v>
                </c:pt>
                <c:pt idx="8">
                  <c:v>2/12/2024</c:v>
                </c:pt>
                <c:pt idx="9">
                  <c:v>2/13/2024</c:v>
                </c:pt>
                <c:pt idx="10">
                  <c:v>2/15/2024</c:v>
                </c:pt>
                <c:pt idx="11">
                  <c:v>2/18/2024</c:v>
                </c:pt>
                <c:pt idx="12">
                  <c:v>2/23/2024</c:v>
                </c:pt>
                <c:pt idx="13">
                  <c:v>2/24/2024</c:v>
                </c:pt>
                <c:pt idx="14">
                  <c:v>2/25/2024</c:v>
                </c:pt>
                <c:pt idx="15">
                  <c:v>2/28/2024</c:v>
                </c:pt>
                <c:pt idx="16">
                  <c:v>3/6/2024</c:v>
                </c:pt>
                <c:pt idx="17">
                  <c:v>3/12/2024</c:v>
                </c:pt>
                <c:pt idx="18">
                  <c:v>3/16/2024</c:v>
                </c:pt>
                <c:pt idx="19">
                  <c:v>3/17/2024</c:v>
                </c:pt>
                <c:pt idx="20">
                  <c:v>3/21/2024</c:v>
                </c:pt>
                <c:pt idx="21">
                  <c:v>3/23/2024</c:v>
                </c:pt>
                <c:pt idx="22">
                  <c:v>3/29/2024</c:v>
                </c:pt>
                <c:pt idx="23">
                  <c:v>3/31/2024</c:v>
                </c:pt>
                <c:pt idx="24">
                  <c:v>4/1/2024</c:v>
                </c:pt>
                <c:pt idx="25">
                  <c:v>4/2/2024</c:v>
                </c:pt>
                <c:pt idx="26">
                  <c:v>4/3/2024</c:v>
                </c:pt>
                <c:pt idx="27">
                  <c:v>4/7/2024</c:v>
                </c:pt>
                <c:pt idx="28">
                  <c:v>4/12/2024</c:v>
                </c:pt>
                <c:pt idx="29">
                  <c:v>4/19/2024</c:v>
                </c:pt>
                <c:pt idx="30">
                  <c:v>4/23/2024</c:v>
                </c:pt>
                <c:pt idx="31">
                  <c:v>4/25/2024</c:v>
                </c:pt>
                <c:pt idx="32">
                  <c:v>5/7/2024</c:v>
                </c:pt>
                <c:pt idx="33">
                  <c:v>5/11/2024</c:v>
                </c:pt>
                <c:pt idx="34">
                  <c:v>5/17/2024</c:v>
                </c:pt>
                <c:pt idx="35">
                  <c:v>5/18/2024</c:v>
                </c:pt>
                <c:pt idx="36">
                  <c:v>5/19/2024</c:v>
                </c:pt>
                <c:pt idx="37">
                  <c:v>5/25/2024</c:v>
                </c:pt>
              </c:strCache>
            </c:strRef>
          </c:cat>
          <c:val>
            <c:numRef>
              <c:f>Sheet2!$AK$42:$AK$79</c:f>
              <c:numCache>
                <c:formatCode>General</c:formatCode>
                <c:ptCount val="38"/>
                <c:pt idx="0">
                  <c:v>4</c:v>
                </c:pt>
                <c:pt idx="1">
                  <c:v>1</c:v>
                </c:pt>
                <c:pt idx="2">
                  <c:v>10</c:v>
                </c:pt>
                <c:pt idx="3">
                  <c:v>9</c:v>
                </c:pt>
                <c:pt idx="4">
                  <c:v>2</c:v>
                </c:pt>
                <c:pt idx="5">
                  <c:v>10</c:v>
                </c:pt>
                <c:pt idx="6">
                  <c:v>7</c:v>
                </c:pt>
                <c:pt idx="7">
                  <c:v>4</c:v>
                </c:pt>
                <c:pt idx="8">
                  <c:v>6</c:v>
                </c:pt>
                <c:pt idx="9">
                  <c:v>11</c:v>
                </c:pt>
                <c:pt idx="10">
                  <c:v>5</c:v>
                </c:pt>
                <c:pt idx="11">
                  <c:v>3</c:v>
                </c:pt>
                <c:pt idx="12">
                  <c:v>1</c:v>
                </c:pt>
                <c:pt idx="13">
                  <c:v>9</c:v>
                </c:pt>
                <c:pt idx="14">
                  <c:v>13</c:v>
                </c:pt>
                <c:pt idx="15">
                  <c:v>3</c:v>
                </c:pt>
                <c:pt idx="16">
                  <c:v>5</c:v>
                </c:pt>
                <c:pt idx="17">
                  <c:v>6</c:v>
                </c:pt>
                <c:pt idx="18">
                  <c:v>10</c:v>
                </c:pt>
                <c:pt idx="19">
                  <c:v>8</c:v>
                </c:pt>
                <c:pt idx="20">
                  <c:v>3</c:v>
                </c:pt>
                <c:pt idx="21">
                  <c:v>8</c:v>
                </c:pt>
                <c:pt idx="22">
                  <c:v>3</c:v>
                </c:pt>
                <c:pt idx="23">
                  <c:v>5</c:v>
                </c:pt>
                <c:pt idx="24">
                  <c:v>6</c:v>
                </c:pt>
                <c:pt idx="25">
                  <c:v>10</c:v>
                </c:pt>
                <c:pt idx="26">
                  <c:v>10</c:v>
                </c:pt>
                <c:pt idx="27">
                  <c:v>8</c:v>
                </c:pt>
                <c:pt idx="28">
                  <c:v>16</c:v>
                </c:pt>
                <c:pt idx="29">
                  <c:v>9</c:v>
                </c:pt>
                <c:pt idx="30">
                  <c:v>9</c:v>
                </c:pt>
                <c:pt idx="31">
                  <c:v>15</c:v>
                </c:pt>
                <c:pt idx="32">
                  <c:v>10</c:v>
                </c:pt>
                <c:pt idx="33">
                  <c:v>1</c:v>
                </c:pt>
                <c:pt idx="34">
                  <c:v>3</c:v>
                </c:pt>
                <c:pt idx="35">
                  <c:v>9</c:v>
                </c:pt>
                <c:pt idx="36">
                  <c:v>2</c:v>
                </c:pt>
                <c:pt idx="37">
                  <c:v>10</c:v>
                </c:pt>
              </c:numCache>
            </c:numRef>
          </c:val>
          <c:smooth val="0"/>
          <c:extLst>
            <c:ext xmlns:c16="http://schemas.microsoft.com/office/drawing/2014/chart" uri="{C3380CC4-5D6E-409C-BE32-E72D297353CC}">
              <c16:uniqueId val="{00000003-4863-49F5-A51F-4C0F4B6A9074}"/>
            </c:ext>
          </c:extLst>
        </c:ser>
        <c:dLbls>
          <c:dLblPos val="t"/>
          <c:showLegendKey val="0"/>
          <c:showVal val="1"/>
          <c:showCatName val="0"/>
          <c:showSerName val="0"/>
          <c:showPercent val="0"/>
          <c:showBubbleSize val="0"/>
        </c:dLbls>
        <c:smooth val="0"/>
        <c:axId val="964295416"/>
        <c:axId val="964296856"/>
      </c:lineChart>
      <c:catAx>
        <c:axId val="964295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64296856"/>
        <c:crosses val="autoZero"/>
        <c:auto val="1"/>
        <c:lblAlgn val="ctr"/>
        <c:lblOffset val="100"/>
        <c:noMultiLvlLbl val="0"/>
      </c:catAx>
      <c:valAx>
        <c:axId val="964296856"/>
        <c:scaling>
          <c:orientation val="minMax"/>
        </c:scaling>
        <c:delete val="1"/>
        <c:axPos val="l"/>
        <c:numFmt formatCode="General" sourceLinked="1"/>
        <c:majorTickMark val="none"/>
        <c:minorTickMark val="none"/>
        <c:tickLblPos val="nextTo"/>
        <c:crossAx val="964295416"/>
        <c:crosses val="autoZero"/>
        <c:crossBetween val="between"/>
      </c:valAx>
      <c:spPr>
        <a:noFill/>
        <a:ln>
          <a:solidFill>
            <a:schemeClr val="bg1">
              <a:alpha val="97000"/>
            </a:schemeClr>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[pivot table - After format 1.xlsx]Sheet2!Quantity  per category</c:name>
    <c:fmtId val="4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mn-lt"/>
                <a:ea typeface="+mn-ea"/>
                <a:cs typeface="+mn-cs"/>
              </a:defRPr>
            </a:pPr>
            <a:r>
              <a:rPr lang="en-US" sz="2000" b="1" i="0" u="none" strike="noStrike" kern="1200" spc="0" baseline="0">
                <a:solidFill>
                  <a:schemeClr val="tx1"/>
                </a:solidFill>
              </a:rPr>
              <a:t> Sum of Quantity  per category</a:t>
            </a:r>
          </a:p>
          <a:p>
            <a:pPr marL="0" marR="0" lvl="0" indent="0" algn="ctr" defTabSz="914400" rtl="0" eaLnBrk="1" fontAlgn="auto" latinLnBrk="0" hangingPunct="1">
              <a:lnSpc>
                <a:spcPct val="100000"/>
              </a:lnSpc>
              <a:spcBef>
                <a:spcPts val="0"/>
              </a:spcBef>
              <a:spcAft>
                <a:spcPts val="0"/>
              </a:spcAft>
              <a:buClrTx/>
              <a:buSzTx/>
              <a:buFontTx/>
              <a:buNone/>
              <a:tabLst/>
              <a:defRPr sz="2000">
                <a:solidFill>
                  <a:sysClr val="windowText" lastClr="000000">
                    <a:lumMod val="65000"/>
                    <a:lumOff val="35000"/>
                  </a:sysClr>
                </a:solidFill>
              </a:defRPr>
            </a:pPr>
            <a:endParaRPr lang="en-US" sz="20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3.1413612565445025E-2"/>
              <c:y val="-5.5096418732782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6.8062827225130892E-2"/>
              <c:y val="-4.9586776859504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1.570680628272245E-2"/>
              <c:y val="1.380013448732033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905759162303663"/>
                  <c:h val="0.20085898353614889"/>
                </c:manualLayout>
              </c15:layout>
            </c:ext>
          </c:extLst>
        </c:dLbl>
      </c:pivotFmt>
      <c:pivotFmt>
        <c:idx val="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3.1413612565445025E-2"/>
              <c:y val="-5.50964187327823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dLbl>
          <c:idx val="0"/>
          <c:layout>
            <c:manualLayout>
              <c:x val="1.570680628272245E-2"/>
              <c:y val="1.380013448732033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9905759162303663"/>
                  <c:h val="0.20085898353614889"/>
                </c:manualLayout>
              </c15:layout>
            </c:ext>
          </c:extLst>
        </c:dLbl>
      </c:pivotFmt>
      <c:pivotFmt>
        <c:idx val="7"/>
        <c:spPr>
          <a:solidFill>
            <a:schemeClr val="accent3"/>
          </a:solidFill>
          <a:ln w="19050">
            <a:solidFill>
              <a:schemeClr val="lt1"/>
            </a:solidFill>
          </a:ln>
          <a:effectLst/>
        </c:spPr>
        <c:dLbl>
          <c:idx val="0"/>
          <c:layout>
            <c:manualLayout>
              <c:x val="-6.8062827225130892E-2"/>
              <c:y val="-4.95867768595041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3.1413612565445025E-2"/>
              <c:y val="-5.50964187327823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dLbl>
          <c:idx val="0"/>
          <c:layout>
            <c:manualLayout>
              <c:x val="1.570680628272245E-2"/>
              <c:y val="1.380013448732033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905759162303663"/>
                  <c:h val="0.20085898353614889"/>
                </c:manualLayout>
              </c15:layout>
            </c:ext>
          </c:extLst>
        </c:dLbl>
      </c:pivotFmt>
      <c:pivotFmt>
        <c:idx val="11"/>
        <c:spPr>
          <a:solidFill>
            <a:schemeClr val="accent3"/>
          </a:solidFill>
          <a:ln w="19050">
            <a:solidFill>
              <a:schemeClr val="lt1"/>
            </a:solidFill>
          </a:ln>
          <a:effectLst/>
        </c:spPr>
        <c:dLbl>
          <c:idx val="0"/>
          <c:layout>
            <c:manualLayout>
              <c:x val="-6.8062827225130892E-2"/>
              <c:y val="-4.95867768595041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3"/>
          </a:solidFill>
          <a:ln w="19050">
            <a:solidFill>
              <a:schemeClr val="lt1"/>
            </a:solidFill>
          </a:ln>
          <a:effectLst/>
        </c:spPr>
        <c:dLbl>
          <c:idx val="0"/>
          <c:layout>
            <c:manualLayout>
              <c:x val="3.1413612565445025E-2"/>
              <c:y val="-5.50964187327823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3"/>
          </a:solidFill>
          <a:ln w="19050">
            <a:solidFill>
              <a:schemeClr val="lt1"/>
            </a:solidFill>
          </a:ln>
          <a:effectLst/>
        </c:spPr>
        <c:dLbl>
          <c:idx val="0"/>
          <c:layout>
            <c:manualLayout>
              <c:x val="1.570680628272245E-2"/>
              <c:y val="1.3800134487320331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905759162303663"/>
                  <c:h val="0.20085898353614889"/>
                </c:manualLayout>
              </c15:layout>
            </c:ext>
          </c:extLst>
        </c:dLbl>
      </c:pivotFmt>
      <c:pivotFmt>
        <c:idx val="15"/>
        <c:spPr>
          <a:solidFill>
            <a:schemeClr val="accent3"/>
          </a:solidFill>
          <a:ln w="19050">
            <a:solidFill>
              <a:schemeClr val="lt1"/>
            </a:solidFill>
          </a:ln>
          <a:effectLst/>
        </c:spPr>
        <c:dLbl>
          <c:idx val="0"/>
          <c:layout>
            <c:manualLayout>
              <c:x val="-6.8062827225130892E-2"/>
              <c:y val="-4.95867768595041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3"/>
          </a:solidFill>
          <a:ln w="19050">
            <a:solidFill>
              <a:schemeClr val="lt1"/>
            </a:solidFill>
          </a:ln>
          <a:effectLst/>
        </c:spPr>
        <c:dLbl>
          <c:idx val="0"/>
          <c:layout>
            <c:manualLayout>
              <c:x val="0.1956833857185527"/>
              <c:y val="-0.24967472840275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3"/>
          </a:solidFill>
          <a:ln w="19050">
            <a:solidFill>
              <a:schemeClr val="lt1"/>
            </a:solidFill>
          </a:ln>
          <a:effectLst/>
        </c:spPr>
        <c:dLbl>
          <c:idx val="0"/>
          <c:layout>
            <c:manualLayout>
              <c:x val="-0.26698985173614215"/>
              <c:y val="8.842831425248001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905759162303663"/>
                  <c:h val="0.20085898353614889"/>
                </c:manualLayout>
              </c15:layout>
            </c:ext>
          </c:extLst>
        </c:dLbl>
      </c:pivotFmt>
      <c:pivotFmt>
        <c:idx val="19"/>
        <c:spPr>
          <a:solidFill>
            <a:schemeClr val="accent3"/>
          </a:solidFill>
          <a:ln w="19050">
            <a:solidFill>
              <a:schemeClr val="lt1"/>
            </a:solidFill>
          </a:ln>
          <a:effectLst/>
        </c:spPr>
        <c:dLbl>
          <c:idx val="0"/>
          <c:layout>
            <c:manualLayout>
              <c:x val="-0.1788494262592682"/>
              <c:y val="-0.187839861948565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3"/>
          </a:solidFill>
          <a:ln w="19050">
            <a:solidFill>
              <a:schemeClr val="lt1"/>
            </a:solidFill>
          </a:ln>
          <a:effectLst/>
        </c:spPr>
        <c:dLbl>
          <c:idx val="0"/>
          <c:layout>
            <c:manualLayout>
              <c:x val="0.1956833857185527"/>
              <c:y val="-0.24967472840275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3"/>
          </a:solidFill>
          <a:ln w="19050">
            <a:solidFill>
              <a:schemeClr val="lt1"/>
            </a:solidFill>
          </a:ln>
          <a:effectLst/>
        </c:spPr>
        <c:dLbl>
          <c:idx val="0"/>
          <c:layout>
            <c:manualLayout>
              <c:x val="-0.26698985173614215"/>
              <c:y val="8.842831425248001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905759162303663"/>
                  <c:h val="0.20085898353614889"/>
                </c:manualLayout>
              </c15:layout>
            </c:ext>
          </c:extLst>
        </c:dLbl>
      </c:pivotFmt>
      <c:pivotFmt>
        <c:idx val="23"/>
        <c:spPr>
          <a:solidFill>
            <a:schemeClr val="accent3"/>
          </a:solidFill>
          <a:ln w="19050">
            <a:solidFill>
              <a:schemeClr val="lt1"/>
            </a:solidFill>
          </a:ln>
          <a:effectLst/>
        </c:spPr>
        <c:dLbl>
          <c:idx val="0"/>
          <c:layout>
            <c:manualLayout>
              <c:x val="-0.1788494262592682"/>
              <c:y val="-0.187839861948565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5"/>
        <c:spPr>
          <a:solidFill>
            <a:schemeClr val="accent3">
              <a:shade val="65000"/>
            </a:schemeClr>
          </a:solidFill>
          <a:ln w="19050">
            <a:solidFill>
              <a:schemeClr val="lt1"/>
            </a:solidFill>
          </a:ln>
          <a:effectLst/>
        </c:spPr>
        <c:dLbl>
          <c:idx val="0"/>
          <c:layout>
            <c:manualLayout>
              <c:x val="0.21922840507645225"/>
              <c:y val="-0.1626911941789859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6"/>
        <c:spPr>
          <a:solidFill>
            <a:schemeClr val="accent3"/>
          </a:solidFill>
          <a:ln w="19050">
            <a:solidFill>
              <a:schemeClr val="lt1"/>
            </a:solidFill>
          </a:ln>
          <a:effectLst/>
        </c:spPr>
        <c:dLbl>
          <c:idx val="0"/>
          <c:layout>
            <c:manualLayout>
              <c:x val="0.29865898662589146"/>
              <c:y val="0.1027523331656751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905759162303663"/>
                  <c:h val="0.20085898353614889"/>
                </c:manualLayout>
              </c15:layout>
            </c:ext>
          </c:extLst>
        </c:dLbl>
      </c:pivotFmt>
      <c:pivotFmt>
        <c:idx val="27"/>
        <c:spPr>
          <a:solidFill>
            <a:schemeClr val="accent3">
              <a:tint val="65000"/>
            </a:schemeClr>
          </a:solidFill>
          <a:ln w="19050">
            <a:solidFill>
              <a:schemeClr val="lt1"/>
            </a:solidFill>
          </a:ln>
          <a:effectLst/>
        </c:spPr>
        <c:dLbl>
          <c:idx val="0"/>
          <c:layout>
            <c:manualLayout>
              <c:x val="-0.24146896791029523"/>
              <c:y val="-5.137616658283766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Sheet2!$AX$1</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9FAD-494A-B3BF-0BC5A2FD3D0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FAD-494A-B3BF-0BC5A2FD3D09}"/>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9FAD-494A-B3BF-0BC5A2FD3D09}"/>
              </c:ext>
            </c:extLst>
          </c:dPt>
          <c:dLbls>
            <c:dLbl>
              <c:idx val="0"/>
              <c:layout>
                <c:manualLayout>
                  <c:x val="0.21922840507645225"/>
                  <c:y val="-0.1626911941789859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9FAD-494A-B3BF-0BC5A2FD3D09}"/>
                </c:ext>
              </c:extLst>
            </c:dLbl>
            <c:dLbl>
              <c:idx val="1"/>
              <c:layout>
                <c:manualLayout>
                  <c:x val="0.29865898662589146"/>
                  <c:y val="0.1027523331656751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905759162303663"/>
                      <c:h val="0.20085898353614889"/>
                    </c:manualLayout>
                  </c15:layout>
                </c:ext>
                <c:ext xmlns:c16="http://schemas.microsoft.com/office/drawing/2014/chart" uri="{C3380CC4-5D6E-409C-BE32-E72D297353CC}">
                  <c16:uniqueId val="{00000003-9FAD-494A-B3BF-0BC5A2FD3D09}"/>
                </c:ext>
              </c:extLst>
            </c:dLbl>
            <c:dLbl>
              <c:idx val="2"/>
              <c:layout>
                <c:manualLayout>
                  <c:x val="-0.24146896791029523"/>
                  <c:y val="-5.137616658283766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FAD-494A-B3BF-0BC5A2FD3D0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Sheet2!$AW$2:$AW$4</c:f>
              <c:strCache>
                <c:ptCount val="3"/>
                <c:pt idx="0">
                  <c:v>Accessories</c:v>
                </c:pt>
                <c:pt idx="1">
                  <c:v>Electronics</c:v>
                </c:pt>
                <c:pt idx="2">
                  <c:v>Furniture</c:v>
                </c:pt>
              </c:strCache>
            </c:strRef>
          </c:cat>
          <c:val>
            <c:numRef>
              <c:f>Sheet2!$AX$2:$AX$4</c:f>
              <c:numCache>
                <c:formatCode>General</c:formatCode>
                <c:ptCount val="3"/>
                <c:pt idx="0">
                  <c:v>159</c:v>
                </c:pt>
                <c:pt idx="1">
                  <c:v>253</c:v>
                </c:pt>
                <c:pt idx="2">
                  <c:v>153</c:v>
                </c:pt>
              </c:numCache>
            </c:numRef>
          </c:val>
          <c:extLst>
            <c:ext xmlns:c16="http://schemas.microsoft.com/office/drawing/2014/chart" uri="{C3380CC4-5D6E-409C-BE32-E72D297353CC}">
              <c16:uniqueId val="{00000006-9FAD-494A-B3BF-0BC5A2FD3D09}"/>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[pivot table - After format 1.xlsx]Sheet2!Total Sales By category</c:name>
    <c:fmtId val="48"/>
  </c:pivotSource>
  <c:chart>
    <c:title>
      <c:tx>
        <c:rich>
          <a:bodyPr rot="0" spcFirstLastPara="1" vertOverflow="ellipsis" vert="horz" wrap="square" anchor="ctr" anchorCtr="1"/>
          <a:lstStyle/>
          <a:p>
            <a:pPr algn="r" rtl="0">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sales per category</a:t>
            </a:r>
            <a:endParaRPr lang="en-US" b="1">
              <a:solidFill>
                <a:schemeClr val="tx1"/>
              </a:solidFill>
            </a:endParaRPr>
          </a:p>
        </c:rich>
      </c:tx>
      <c:layout>
        <c:manualLayout>
          <c:xMode val="edge"/>
          <c:yMode val="edge"/>
          <c:x val="0.33699300087489065"/>
          <c:y val="4.038052343456186E-2"/>
        </c:manualLayout>
      </c:layout>
      <c:overlay val="0"/>
      <c:spPr>
        <a:noFill/>
        <a:ln>
          <a:noFill/>
        </a:ln>
        <a:effectLst/>
      </c:spPr>
      <c:txPr>
        <a:bodyPr rot="0" spcFirstLastPara="1" vertOverflow="ellipsis" vert="horz" wrap="square" anchor="ctr" anchorCtr="1"/>
        <a:lstStyle/>
        <a:p>
          <a:pPr algn="r" rtl="0">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11111111111108E-2"/>
          <c:y val="0.1065248063675666"/>
          <c:w val="0.93888888888888888"/>
          <c:h val="0.82707807872120387"/>
        </c:manualLayout>
      </c:layout>
      <c:barChart>
        <c:barDir val="col"/>
        <c:grouping val="clustered"/>
        <c:varyColors val="0"/>
        <c:ser>
          <c:idx val="0"/>
          <c:order val="0"/>
          <c:tx>
            <c:strRef>
              <c:f>Sheet2!$BD$2</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Sheet2!$BC$3:$BC$6</c:f>
              <c:strCache>
                <c:ptCount val="3"/>
                <c:pt idx="0">
                  <c:v>Accessories</c:v>
                </c:pt>
                <c:pt idx="1">
                  <c:v>Electronics</c:v>
                </c:pt>
                <c:pt idx="2">
                  <c:v>Furniture</c:v>
                </c:pt>
              </c:strCache>
            </c:strRef>
          </c:cat>
          <c:val>
            <c:numRef>
              <c:f>Sheet2!$BD$3:$BD$6</c:f>
              <c:numCache>
                <c:formatCode>[&gt;=1000000]0.##,,"M";[&gt;=1000]0.#,"K";0</c:formatCode>
                <c:ptCount val="3"/>
                <c:pt idx="0">
                  <c:v>13275</c:v>
                </c:pt>
                <c:pt idx="1">
                  <c:v>177150</c:v>
                </c:pt>
                <c:pt idx="2">
                  <c:v>61800</c:v>
                </c:pt>
              </c:numCache>
            </c:numRef>
          </c:val>
          <c:extLst>
            <c:ext xmlns:c16="http://schemas.microsoft.com/office/drawing/2014/chart" uri="{C3380CC4-5D6E-409C-BE32-E72D297353CC}">
              <c16:uniqueId val="{00000000-583C-465D-829D-1AD92CC230BB}"/>
            </c:ext>
          </c:extLst>
        </c:ser>
        <c:dLbls>
          <c:dLblPos val="outEnd"/>
          <c:showLegendKey val="0"/>
          <c:showVal val="1"/>
          <c:showCatName val="0"/>
          <c:showSerName val="0"/>
          <c:showPercent val="0"/>
          <c:showBubbleSize val="0"/>
        </c:dLbls>
        <c:gapWidth val="219"/>
        <c:overlap val="-27"/>
        <c:axId val="964336096"/>
        <c:axId val="964340056"/>
      </c:barChart>
      <c:catAx>
        <c:axId val="964336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964340056"/>
        <c:crosses val="autoZero"/>
        <c:auto val="1"/>
        <c:lblAlgn val="ctr"/>
        <c:lblOffset val="100"/>
        <c:noMultiLvlLbl val="0"/>
      </c:catAx>
      <c:valAx>
        <c:axId val="964340056"/>
        <c:scaling>
          <c:orientation val="minMax"/>
        </c:scaling>
        <c:delete val="1"/>
        <c:axPos val="l"/>
        <c:numFmt formatCode="[&gt;=1000000]0.##,,&quot;M&quot;;[&gt;=1000]0.#,&quot;K&quot;;0" sourceLinked="1"/>
        <c:majorTickMark val="out"/>
        <c:minorTickMark val="none"/>
        <c:tickLblPos val="nextTo"/>
        <c:crossAx val="96433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withinLinearReversed" id="23">
  <a:schemeClr val="accent3"/>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6">
  <a:schemeClr val="accent3"/>
</cs:colorStyle>
</file>

<file path=xl/charts/colors18.xml><?xml version="1.0" encoding="utf-8"?>
<cs:colorStyle xmlns:cs="http://schemas.microsoft.com/office/drawing/2012/chartStyle" xmlns:a="http://schemas.openxmlformats.org/drawingml/2006/main" meth="withinLinear" id="16">
  <a:schemeClr val="accent3"/>
</cs:colorStyle>
</file>

<file path=xl/charts/colors19.xml><?xml version="1.0" encoding="utf-8"?>
<cs:colorStyle xmlns:cs="http://schemas.microsoft.com/office/drawing/2012/chartStyle" xmlns:a="http://schemas.openxmlformats.org/drawingml/2006/main" meth="withinLinear" id="16">
  <a:schemeClr val="accent3"/>
</cs:colorStyle>
</file>

<file path=xl/charts/colors20.xml><?xml version="1.0" encoding="utf-8"?>
<cs:colorStyle xmlns:cs="http://schemas.microsoft.com/office/drawing/2012/chartStyle" xmlns:a="http://schemas.openxmlformats.org/drawingml/2006/main" meth="withinLinear" id="16">
  <a:schemeClr val="accent3"/>
</cs:colorStyle>
</file>

<file path=xl/charts/colors21.xml><?xml version="1.0" encoding="utf-8"?>
<cs:colorStyle xmlns:cs="http://schemas.microsoft.com/office/drawing/2012/chartStyle" xmlns:a="http://schemas.openxmlformats.org/drawingml/2006/main" meth="withinLinearReversed" id="23">
  <a:schemeClr val="accent3"/>
</cs:colorStyle>
</file>

<file path=xl/charts/colors22.xml><?xml version="1.0" encoding="utf-8"?>
<cs:colorStyle xmlns:cs="http://schemas.microsoft.com/office/drawing/2012/chartStyle" xmlns:a="http://schemas.openxmlformats.org/drawingml/2006/main" meth="withinLinear" id="16">
  <a:schemeClr val="accent3"/>
</cs:colorStyle>
</file>

<file path=xl/charts/colors23.xml><?xml version="1.0" encoding="utf-8"?>
<cs:colorStyle xmlns:cs="http://schemas.microsoft.com/office/drawing/2012/chartStyle" xmlns:a="http://schemas.openxmlformats.org/drawingml/2006/main" meth="withinLinear" id="16">
  <a:schemeClr val="accent3"/>
</cs:colorStyle>
</file>

<file path=xl/charts/colors24.xml><?xml version="1.0" encoding="utf-8"?>
<cs:colorStyle xmlns:cs="http://schemas.microsoft.com/office/drawing/2012/chartStyle" xmlns:a="http://schemas.openxmlformats.org/drawingml/2006/main" meth="withinLinear" id="16">
  <a:schemeClr val="accent3"/>
</cs:colorStyle>
</file>

<file path=xl/charts/colors2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hyperlink" Target="#'Sales - Rep'!A1"/><Relationship Id="rId2" Type="http://schemas.openxmlformats.org/officeDocument/2006/relationships/hyperlink" Target="#Region!A1"/><Relationship Id="rId1" Type="http://schemas.openxmlformats.org/officeDocument/2006/relationships/image" Target="../media/image1.jpeg"/><Relationship Id="rId5" Type="http://schemas.openxmlformats.org/officeDocument/2006/relationships/hyperlink" Target="#Category!A1"/><Relationship Id="rId4" Type="http://schemas.openxmlformats.org/officeDocument/2006/relationships/hyperlink" Target="#Product!A1"/></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image" Target="../media/image3.jpeg"/><Relationship Id="rId7" Type="http://schemas.openxmlformats.org/officeDocument/2006/relationships/chart" Target="../charts/chart17.xml"/><Relationship Id="rId2" Type="http://schemas.openxmlformats.org/officeDocument/2006/relationships/hyperlink" Target="#Intero!A1"/><Relationship Id="rId1" Type="http://schemas.openxmlformats.org/officeDocument/2006/relationships/image" Target="../media/image2.jpeg"/><Relationship Id="rId6" Type="http://schemas.openxmlformats.org/officeDocument/2006/relationships/hyperlink" Target="#Category!A1"/><Relationship Id="rId5" Type="http://schemas.openxmlformats.org/officeDocument/2006/relationships/hyperlink" Target="#Region!A1"/><Relationship Id="rId4" Type="http://schemas.openxmlformats.org/officeDocument/2006/relationships/hyperlink" Target="#'Sales - Rep'!A1"/><Relationship Id="rId9"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image" Target="../media/image5.jpeg"/><Relationship Id="rId7" Type="http://schemas.openxmlformats.org/officeDocument/2006/relationships/hyperlink" Target="#Category!A1"/><Relationship Id="rId2" Type="http://schemas.openxmlformats.org/officeDocument/2006/relationships/hyperlink" Target="#Intero!A1"/><Relationship Id="rId1" Type="http://schemas.openxmlformats.org/officeDocument/2006/relationships/image" Target="../media/image4.jpeg"/><Relationship Id="rId6" Type="http://schemas.openxmlformats.org/officeDocument/2006/relationships/hyperlink" Target="#Region!A1"/><Relationship Id="rId5" Type="http://schemas.openxmlformats.org/officeDocument/2006/relationships/hyperlink" Target="#'Sales - Rep'!A1"/><Relationship Id="rId4" Type="http://schemas.openxmlformats.org/officeDocument/2006/relationships/hyperlink" Target="#Product!A1"/><Relationship Id="rId9"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image" Target="../media/image5.jpeg"/><Relationship Id="rId7" Type="http://schemas.openxmlformats.org/officeDocument/2006/relationships/hyperlink" Target="#Category!A1"/><Relationship Id="rId2" Type="http://schemas.openxmlformats.org/officeDocument/2006/relationships/hyperlink" Target="#Intero!A1"/><Relationship Id="rId1" Type="http://schemas.openxmlformats.org/officeDocument/2006/relationships/image" Target="../media/image4.jpeg"/><Relationship Id="rId6" Type="http://schemas.openxmlformats.org/officeDocument/2006/relationships/hyperlink" Target="#Region!A1"/><Relationship Id="rId5" Type="http://schemas.openxmlformats.org/officeDocument/2006/relationships/hyperlink" Target="#'Sales - Rep'!A1"/><Relationship Id="rId4" Type="http://schemas.openxmlformats.org/officeDocument/2006/relationships/hyperlink" Target="#Product!A1"/><Relationship Id="rId9" Type="http://schemas.openxmlformats.org/officeDocument/2006/relationships/chart" Target="../charts/chart2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image" Target="../media/image5.jpeg"/><Relationship Id="rId7" Type="http://schemas.openxmlformats.org/officeDocument/2006/relationships/chart" Target="../charts/chart24.xml"/><Relationship Id="rId2" Type="http://schemas.openxmlformats.org/officeDocument/2006/relationships/hyperlink" Target="#Intero!A1"/><Relationship Id="rId1" Type="http://schemas.openxmlformats.org/officeDocument/2006/relationships/image" Target="../media/image4.jpeg"/><Relationship Id="rId6" Type="http://schemas.openxmlformats.org/officeDocument/2006/relationships/hyperlink" Target="#Region!A1"/><Relationship Id="rId5" Type="http://schemas.openxmlformats.org/officeDocument/2006/relationships/hyperlink" Target="#'Sales -Rep'!A1"/><Relationship Id="rId4" Type="http://schemas.openxmlformats.org/officeDocument/2006/relationships/hyperlink" Target="#Product!A1"/></Relationships>
</file>

<file path=xl/drawings/drawing1.xml><?xml version="1.0" encoding="utf-8"?>
<xdr:wsDr xmlns:xdr="http://schemas.openxmlformats.org/drawingml/2006/spreadsheetDrawing" xmlns:a="http://schemas.openxmlformats.org/drawingml/2006/main">
  <xdr:twoCellAnchor>
    <xdr:from>
      <xdr:col>18</xdr:col>
      <xdr:colOff>12699</xdr:colOff>
      <xdr:row>10</xdr:row>
      <xdr:rowOff>0</xdr:rowOff>
    </xdr:from>
    <xdr:to>
      <xdr:col>22</xdr:col>
      <xdr:colOff>539750</xdr:colOff>
      <xdr:row>22</xdr:row>
      <xdr:rowOff>88900</xdr:rowOff>
    </xdr:to>
    <xdr:graphicFrame macro="">
      <xdr:nvGraphicFramePr>
        <xdr:cNvPr id="5" name="Chart 4">
          <a:extLst>
            <a:ext uri="{FF2B5EF4-FFF2-40B4-BE49-F238E27FC236}">
              <a16:creationId xmlns:a16="http://schemas.microsoft.com/office/drawing/2014/main" id="{CF38D57A-9E7D-7B11-1929-0021F0CFE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68</xdr:col>
      <xdr:colOff>348413</xdr:colOff>
      <xdr:row>16</xdr:row>
      <xdr:rowOff>816</xdr:rowOff>
    </xdr:from>
    <xdr:to>
      <xdr:col>75</xdr:col>
      <xdr:colOff>593822</xdr:colOff>
      <xdr:row>31</xdr:row>
      <xdr:rowOff>32565</xdr:rowOff>
    </xdr:to>
    <xdr:graphicFrame macro="">
      <xdr:nvGraphicFramePr>
        <xdr:cNvPr id="9" name="Chart 8">
          <a:extLst>
            <a:ext uri="{FF2B5EF4-FFF2-40B4-BE49-F238E27FC236}">
              <a16:creationId xmlns:a16="http://schemas.microsoft.com/office/drawing/2014/main" id="{E876F086-D34B-D5E5-64CF-65BC207FF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xdr:row>
      <xdr:rowOff>39221</xdr:rowOff>
    </xdr:from>
    <xdr:to>
      <xdr:col>2</xdr:col>
      <xdr:colOff>241300</xdr:colOff>
      <xdr:row>22</xdr:row>
      <xdr:rowOff>172571</xdr:rowOff>
    </xdr:to>
    <xdr:sp macro="" textlink="">
      <xdr:nvSpPr>
        <xdr:cNvPr id="6" name="Flowchart: Alternate Process 5">
          <a:extLst>
            <a:ext uri="{FF2B5EF4-FFF2-40B4-BE49-F238E27FC236}">
              <a16:creationId xmlns:a16="http://schemas.microsoft.com/office/drawing/2014/main" id="{345A7E95-AB3A-3922-4DD9-70563F69550C}"/>
            </a:ext>
          </a:extLst>
        </xdr:cNvPr>
        <xdr:cNvSpPr/>
      </xdr:nvSpPr>
      <xdr:spPr>
        <a:xfrm>
          <a:off x="0" y="2123515"/>
          <a:ext cx="3177241" cy="3143997"/>
        </a:xfrm>
        <a:prstGeom prst="flowChartAlternateProcess">
          <a:avLst/>
        </a:prstGeom>
        <a:solidFill>
          <a:srgbClr val="FFCE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330200</xdr:colOff>
      <xdr:row>8</xdr:row>
      <xdr:rowOff>12700</xdr:rowOff>
    </xdr:from>
    <xdr:to>
      <xdr:col>17</xdr:col>
      <xdr:colOff>63500</xdr:colOff>
      <xdr:row>20</xdr:row>
      <xdr:rowOff>107950</xdr:rowOff>
    </xdr:to>
    <xdr:sp macro="" textlink="">
      <xdr:nvSpPr>
        <xdr:cNvPr id="13" name="Flowchart: Alternate Process 12">
          <a:extLst>
            <a:ext uri="{FF2B5EF4-FFF2-40B4-BE49-F238E27FC236}">
              <a16:creationId xmlns:a16="http://schemas.microsoft.com/office/drawing/2014/main" id="{920F909F-2346-4BA7-01BB-2A920A88A36C}"/>
            </a:ext>
          </a:extLst>
        </xdr:cNvPr>
        <xdr:cNvSpPr/>
      </xdr:nvSpPr>
      <xdr:spPr>
        <a:xfrm>
          <a:off x="10242550" y="1485900"/>
          <a:ext cx="3429000" cy="2305050"/>
        </a:xfrm>
        <a:prstGeom prst="flowChartAlternateProcess">
          <a:avLst/>
        </a:prstGeom>
        <a:solidFill>
          <a:srgbClr val="FFCE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501650</xdr:colOff>
      <xdr:row>8</xdr:row>
      <xdr:rowOff>152400</xdr:rowOff>
    </xdr:from>
    <xdr:to>
      <xdr:col>16</xdr:col>
      <xdr:colOff>476250</xdr:colOff>
      <xdr:row>19</xdr:row>
      <xdr:rowOff>158750</xdr:rowOff>
    </xdr:to>
    <xdr:graphicFrame macro="">
      <xdr:nvGraphicFramePr>
        <xdr:cNvPr id="14" name="Chart 13">
          <a:extLst>
            <a:ext uri="{FF2B5EF4-FFF2-40B4-BE49-F238E27FC236}">
              <a16:creationId xmlns:a16="http://schemas.microsoft.com/office/drawing/2014/main" id="{A6A129F4-20C0-4BE4-B940-998C7B8C6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244475</xdr:colOff>
      <xdr:row>10</xdr:row>
      <xdr:rowOff>146050</xdr:rowOff>
    </xdr:from>
    <xdr:to>
      <xdr:col>30</xdr:col>
      <xdr:colOff>495300</xdr:colOff>
      <xdr:row>25</xdr:row>
      <xdr:rowOff>133350</xdr:rowOff>
    </xdr:to>
    <xdr:graphicFrame macro="">
      <xdr:nvGraphicFramePr>
        <xdr:cNvPr id="18" name="Chart 17">
          <a:extLst>
            <a:ext uri="{FF2B5EF4-FFF2-40B4-BE49-F238E27FC236}">
              <a16:creationId xmlns:a16="http://schemas.microsoft.com/office/drawing/2014/main" id="{4914E2F8-ACB5-B35F-850F-A91CA58CB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784225</xdr:colOff>
      <xdr:row>10</xdr:row>
      <xdr:rowOff>104775</xdr:rowOff>
    </xdr:from>
    <xdr:to>
      <xdr:col>44</xdr:col>
      <xdr:colOff>136525</xdr:colOff>
      <xdr:row>25</xdr:row>
      <xdr:rowOff>85725</xdr:rowOff>
    </xdr:to>
    <xdr:graphicFrame macro="">
      <xdr:nvGraphicFramePr>
        <xdr:cNvPr id="21" name="Chart 20">
          <a:extLst>
            <a:ext uri="{FF2B5EF4-FFF2-40B4-BE49-F238E27FC236}">
              <a16:creationId xmlns:a16="http://schemas.microsoft.com/office/drawing/2014/main" id="{F76C0EAB-AC45-BC89-7AA9-5FB74371E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276411</xdr:colOff>
      <xdr:row>10</xdr:row>
      <xdr:rowOff>118782</xdr:rowOff>
    </xdr:from>
    <xdr:to>
      <xdr:col>38</xdr:col>
      <xdr:colOff>903942</xdr:colOff>
      <xdr:row>25</xdr:row>
      <xdr:rowOff>60511</xdr:rowOff>
    </xdr:to>
    <xdr:graphicFrame macro="">
      <xdr:nvGraphicFramePr>
        <xdr:cNvPr id="22" name="Chart 21">
          <a:extLst>
            <a:ext uri="{FF2B5EF4-FFF2-40B4-BE49-F238E27FC236}">
              <a16:creationId xmlns:a16="http://schemas.microsoft.com/office/drawing/2014/main" id="{5671D09B-CC2C-B9A8-A6DF-1B8346905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313764</xdr:colOff>
      <xdr:row>5</xdr:row>
      <xdr:rowOff>112058</xdr:rowOff>
    </xdr:from>
    <xdr:to>
      <xdr:col>51</xdr:col>
      <xdr:colOff>478117</xdr:colOff>
      <xdr:row>21</xdr:row>
      <xdr:rowOff>37354</xdr:rowOff>
    </xdr:to>
    <xdr:sp macro="" textlink="">
      <xdr:nvSpPr>
        <xdr:cNvPr id="23" name="Flowchart: Alternate Process 22">
          <a:extLst>
            <a:ext uri="{FF2B5EF4-FFF2-40B4-BE49-F238E27FC236}">
              <a16:creationId xmlns:a16="http://schemas.microsoft.com/office/drawing/2014/main" id="{E190EB4B-0B84-63BC-B345-631BB352DD41}"/>
            </a:ext>
          </a:extLst>
        </xdr:cNvPr>
        <xdr:cNvSpPr/>
      </xdr:nvSpPr>
      <xdr:spPr>
        <a:xfrm>
          <a:off x="35657117" y="1045882"/>
          <a:ext cx="3869765" cy="2913531"/>
        </a:xfrm>
        <a:prstGeom prst="flowChartAlternateProcess">
          <a:avLst/>
        </a:prstGeom>
        <a:solidFill>
          <a:srgbClr val="FFCE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46</xdr:col>
      <xdr:colOff>552824</xdr:colOff>
      <xdr:row>6</xdr:row>
      <xdr:rowOff>141942</xdr:rowOff>
    </xdr:from>
    <xdr:to>
      <xdr:col>51</xdr:col>
      <xdr:colOff>171823</xdr:colOff>
      <xdr:row>20</xdr:row>
      <xdr:rowOff>7471</xdr:rowOff>
    </xdr:to>
    <xdr:graphicFrame macro="">
      <xdr:nvGraphicFramePr>
        <xdr:cNvPr id="24" name="Chart 23">
          <a:extLst>
            <a:ext uri="{FF2B5EF4-FFF2-40B4-BE49-F238E27FC236}">
              <a16:creationId xmlns:a16="http://schemas.microsoft.com/office/drawing/2014/main" id="{65F44B36-4F8B-4CE7-B1BE-A993717BD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59</xdr:col>
      <xdr:colOff>231587</xdr:colOff>
      <xdr:row>13</xdr:row>
      <xdr:rowOff>89647</xdr:rowOff>
    </xdr:from>
    <xdr:to>
      <xdr:col>66</xdr:col>
      <xdr:colOff>104588</xdr:colOff>
      <xdr:row>31</xdr:row>
      <xdr:rowOff>29882</xdr:rowOff>
    </xdr:to>
    <xdr:graphicFrame macro="">
      <xdr:nvGraphicFramePr>
        <xdr:cNvPr id="25" name="Chart 24">
          <a:extLst>
            <a:ext uri="{FF2B5EF4-FFF2-40B4-BE49-F238E27FC236}">
              <a16:creationId xmlns:a16="http://schemas.microsoft.com/office/drawing/2014/main" id="{11A3E468-930A-E15A-0E35-7A5E47982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77</xdr:col>
      <xdr:colOff>297117</xdr:colOff>
      <xdr:row>12</xdr:row>
      <xdr:rowOff>148950</xdr:rowOff>
    </xdr:from>
    <xdr:to>
      <xdr:col>83</xdr:col>
      <xdr:colOff>478210</xdr:colOff>
      <xdr:row>27</xdr:row>
      <xdr:rowOff>160396</xdr:rowOff>
    </xdr:to>
    <xdr:graphicFrame macro="">
      <xdr:nvGraphicFramePr>
        <xdr:cNvPr id="2" name="Chart 1">
          <a:extLst>
            <a:ext uri="{FF2B5EF4-FFF2-40B4-BE49-F238E27FC236}">
              <a16:creationId xmlns:a16="http://schemas.microsoft.com/office/drawing/2014/main" id="{05277765-689E-F849-D0F5-543CA6E24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84</xdr:col>
      <xdr:colOff>414710</xdr:colOff>
      <xdr:row>9</xdr:row>
      <xdr:rowOff>4233</xdr:rowOff>
    </xdr:from>
    <xdr:to>
      <xdr:col>89</xdr:col>
      <xdr:colOff>314365</xdr:colOff>
      <xdr:row>24</xdr:row>
      <xdr:rowOff>42804</xdr:rowOff>
    </xdr:to>
    <xdr:graphicFrame macro="">
      <xdr:nvGraphicFramePr>
        <xdr:cNvPr id="3" name="Chart 2">
          <a:extLst>
            <a:ext uri="{FF2B5EF4-FFF2-40B4-BE49-F238E27FC236}">
              <a16:creationId xmlns:a16="http://schemas.microsoft.com/office/drawing/2014/main" id="{51A313C3-F87B-0023-AC65-09007FAE5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90</xdr:col>
      <xdr:colOff>513628</xdr:colOff>
      <xdr:row>16</xdr:row>
      <xdr:rowOff>33437</xdr:rowOff>
    </xdr:from>
    <xdr:to>
      <xdr:col>97</xdr:col>
      <xdr:colOff>192210</xdr:colOff>
      <xdr:row>31</xdr:row>
      <xdr:rowOff>188166</xdr:rowOff>
    </xdr:to>
    <xdr:graphicFrame macro="">
      <xdr:nvGraphicFramePr>
        <xdr:cNvPr id="4" name="Chart 3">
          <a:extLst>
            <a:ext uri="{FF2B5EF4-FFF2-40B4-BE49-F238E27FC236}">
              <a16:creationId xmlns:a16="http://schemas.microsoft.com/office/drawing/2014/main" id="{86929886-28A1-5F3A-B478-03923BC9D1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74</xdr:col>
      <xdr:colOff>308877</xdr:colOff>
      <xdr:row>36</xdr:row>
      <xdr:rowOff>23832</xdr:rowOff>
    </xdr:from>
    <xdr:to>
      <xdr:col>80</xdr:col>
      <xdr:colOff>906248</xdr:colOff>
      <xdr:row>51</xdr:row>
      <xdr:rowOff>62402</xdr:rowOff>
    </xdr:to>
    <xdr:graphicFrame macro="">
      <xdr:nvGraphicFramePr>
        <xdr:cNvPr id="29" name="Chart 28">
          <a:extLst>
            <a:ext uri="{FF2B5EF4-FFF2-40B4-BE49-F238E27FC236}">
              <a16:creationId xmlns:a16="http://schemas.microsoft.com/office/drawing/2014/main" id="{DBCF12BA-ED5C-311D-1277-4AD55B153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218801</xdr:colOff>
      <xdr:row>10</xdr:row>
      <xdr:rowOff>129039</xdr:rowOff>
    </xdr:from>
    <xdr:to>
      <xdr:col>2</xdr:col>
      <xdr:colOff>104029</xdr:colOff>
      <xdr:row>20</xdr:row>
      <xdr:rowOff>120040</xdr:rowOff>
    </xdr:to>
    <xdr:graphicFrame macro="">
      <xdr:nvGraphicFramePr>
        <xdr:cNvPr id="30" name="Chart 29">
          <a:extLst>
            <a:ext uri="{FF2B5EF4-FFF2-40B4-BE49-F238E27FC236}">
              <a16:creationId xmlns:a16="http://schemas.microsoft.com/office/drawing/2014/main" id="{08E844DE-9EC0-4D9B-801A-DCC9930BA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103</xdr:col>
      <xdr:colOff>594450</xdr:colOff>
      <xdr:row>14</xdr:row>
      <xdr:rowOff>177646</xdr:rowOff>
    </xdr:from>
    <xdr:to>
      <xdr:col>110</xdr:col>
      <xdr:colOff>168312</xdr:colOff>
      <xdr:row>31</xdr:row>
      <xdr:rowOff>198916</xdr:rowOff>
    </xdr:to>
    <xdr:graphicFrame macro="">
      <xdr:nvGraphicFramePr>
        <xdr:cNvPr id="10" name="Chart 9">
          <a:extLst>
            <a:ext uri="{FF2B5EF4-FFF2-40B4-BE49-F238E27FC236}">
              <a16:creationId xmlns:a16="http://schemas.microsoft.com/office/drawing/2014/main" id="{84218018-BE80-B126-14E9-632C71EC0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235324</xdr:colOff>
      <xdr:row>42</xdr:row>
      <xdr:rowOff>227106</xdr:rowOff>
    </xdr:from>
    <xdr:to>
      <xdr:col>33</xdr:col>
      <xdr:colOff>631265</xdr:colOff>
      <xdr:row>54</xdr:row>
      <xdr:rowOff>191247</xdr:rowOff>
    </xdr:to>
    <xdr:graphicFrame macro="">
      <xdr:nvGraphicFramePr>
        <xdr:cNvPr id="16" name="Chart 15">
          <a:extLst>
            <a:ext uri="{FF2B5EF4-FFF2-40B4-BE49-F238E27FC236}">
              <a16:creationId xmlns:a16="http://schemas.microsoft.com/office/drawing/2014/main" id="{6FB9FD92-6865-494F-7386-285115CCFF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52</xdr:col>
      <xdr:colOff>119530</xdr:colOff>
      <xdr:row>10</xdr:row>
      <xdr:rowOff>182283</xdr:rowOff>
    </xdr:from>
    <xdr:to>
      <xdr:col>56</xdr:col>
      <xdr:colOff>500530</xdr:colOff>
      <xdr:row>22</xdr:row>
      <xdr:rowOff>146424</xdr:rowOff>
    </xdr:to>
    <xdr:graphicFrame macro="">
      <xdr:nvGraphicFramePr>
        <xdr:cNvPr id="17" name="Chart 16">
          <a:extLst>
            <a:ext uri="{FF2B5EF4-FFF2-40B4-BE49-F238E27FC236}">
              <a16:creationId xmlns:a16="http://schemas.microsoft.com/office/drawing/2014/main" id="{C78628C2-633C-7CC8-4F31-479FB91F2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552450</xdr:colOff>
      <xdr:row>0</xdr:row>
      <xdr:rowOff>44450</xdr:rowOff>
    </xdr:from>
    <xdr:to>
      <xdr:col>4</xdr:col>
      <xdr:colOff>12700</xdr:colOff>
      <xdr:row>2</xdr:row>
      <xdr:rowOff>44450</xdr:rowOff>
    </xdr:to>
    <xdr:sp macro="" textlink="">
      <xdr:nvSpPr>
        <xdr:cNvPr id="8" name="TextBox 7">
          <a:extLst>
            <a:ext uri="{FF2B5EF4-FFF2-40B4-BE49-F238E27FC236}">
              <a16:creationId xmlns:a16="http://schemas.microsoft.com/office/drawing/2014/main" id="{21D478D5-3D62-78AE-3F0D-1A968A9B3E1C}"/>
            </a:ext>
          </a:extLst>
        </xdr:cNvPr>
        <xdr:cNvSpPr txBox="1"/>
      </xdr:nvSpPr>
      <xdr:spPr>
        <a:xfrm>
          <a:off x="552450" y="44450"/>
          <a:ext cx="1898650" cy="368300"/>
        </a:xfrm>
        <a:prstGeom prst="rect">
          <a:avLst/>
        </a:prstGeom>
        <a:solidFill>
          <a:srgbClr val="C6D870"/>
        </a:solidFill>
        <a:ln w="9525" cmpd="sng">
          <a:solidFill>
            <a:srgbClr val="C6D87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31750</xdr:colOff>
      <xdr:row>0</xdr:row>
      <xdr:rowOff>0</xdr:rowOff>
    </xdr:from>
    <xdr:to>
      <xdr:col>18</xdr:col>
      <xdr:colOff>355600</xdr:colOff>
      <xdr:row>7</xdr:row>
      <xdr:rowOff>31750</xdr:rowOff>
    </xdr:to>
    <xdr:sp macro="" textlink="">
      <xdr:nvSpPr>
        <xdr:cNvPr id="6158" name="Rectangle: Top Corners Rounded 6157">
          <a:extLst>
            <a:ext uri="{FF2B5EF4-FFF2-40B4-BE49-F238E27FC236}">
              <a16:creationId xmlns:a16="http://schemas.microsoft.com/office/drawing/2014/main" id="{7160FBC9-625B-F749-B7DC-DBF4699E15E2}"/>
            </a:ext>
          </a:extLst>
        </xdr:cNvPr>
        <xdr:cNvSpPr/>
      </xdr:nvSpPr>
      <xdr:spPr>
        <a:xfrm rot="10800000">
          <a:off x="31750" y="0"/>
          <a:ext cx="14293850" cy="1636889"/>
        </a:xfrm>
        <a:prstGeom prst="round2Same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120650</xdr:colOff>
      <xdr:row>1</xdr:row>
      <xdr:rowOff>50800</xdr:rowOff>
    </xdr:from>
    <xdr:to>
      <xdr:col>10</xdr:col>
      <xdr:colOff>425450</xdr:colOff>
      <xdr:row>4</xdr:row>
      <xdr:rowOff>133536</xdr:rowOff>
    </xdr:to>
    <xdr:pic>
      <xdr:nvPicPr>
        <xdr:cNvPr id="6159" name="Picture 6158">
          <a:extLst>
            <a:ext uri="{FF2B5EF4-FFF2-40B4-BE49-F238E27FC236}">
              <a16:creationId xmlns:a16="http://schemas.microsoft.com/office/drawing/2014/main" id="{750F42D0-D8A8-49C2-87CB-0704EAE292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5137057" y="-514257"/>
          <a:ext cx="635186" cy="2133600"/>
        </a:xfrm>
        <a:prstGeom prst="rect">
          <a:avLst/>
        </a:prstGeom>
        <a:effectLst>
          <a:reflection blurRad="6350" stA="52000" endA="300" endPos="35000" dir="5400000" sy="-100000" algn="bl" rotWithShape="0"/>
        </a:effectLst>
      </xdr:spPr>
    </xdr:pic>
    <xdr:clientData/>
  </xdr:twoCellAnchor>
  <xdr:twoCellAnchor>
    <xdr:from>
      <xdr:col>0</xdr:col>
      <xdr:colOff>400050</xdr:colOff>
      <xdr:row>1</xdr:row>
      <xdr:rowOff>50800</xdr:rowOff>
    </xdr:from>
    <xdr:to>
      <xdr:col>2</xdr:col>
      <xdr:colOff>552450</xdr:colOff>
      <xdr:row>4</xdr:row>
      <xdr:rowOff>138430</xdr:rowOff>
    </xdr:to>
    <xdr:sp macro="" textlink="">
      <xdr:nvSpPr>
        <xdr:cNvPr id="6160" name="Arrow: Pentagon 6159">
          <a:hlinkClick xmlns:r="http://schemas.openxmlformats.org/officeDocument/2006/relationships" r:id="rId2"/>
          <a:extLst>
            <a:ext uri="{FF2B5EF4-FFF2-40B4-BE49-F238E27FC236}">
              <a16:creationId xmlns:a16="http://schemas.microsoft.com/office/drawing/2014/main" id="{28DC74BD-6181-4A4A-8315-AACC78CC2051}"/>
            </a:ext>
          </a:extLst>
        </xdr:cNvPr>
        <xdr:cNvSpPr/>
      </xdr:nvSpPr>
      <xdr:spPr>
        <a:xfrm>
          <a:off x="400050" y="234950"/>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solidFill>
                <a:schemeClr val="dk1"/>
              </a:solidFill>
              <a:latin typeface="+mn-lt"/>
              <a:ea typeface="+mn-ea"/>
              <a:cs typeface="+mn-cs"/>
            </a:rPr>
            <a:t>Region</a:t>
          </a:r>
          <a:endParaRPr lang="en-US" sz="2400" b="1">
            <a:solidFill>
              <a:schemeClr val="dk1"/>
            </a:solidFill>
            <a:latin typeface="+mn-lt"/>
            <a:ea typeface="+mn-ea"/>
            <a:cs typeface="+mn-cs"/>
          </a:endParaRPr>
        </a:p>
      </xdr:txBody>
    </xdr:sp>
    <xdr:clientData/>
  </xdr:twoCellAnchor>
  <xdr:twoCellAnchor>
    <xdr:from>
      <xdr:col>3</xdr:col>
      <xdr:colOff>431800</xdr:colOff>
      <xdr:row>1</xdr:row>
      <xdr:rowOff>82550</xdr:rowOff>
    </xdr:from>
    <xdr:to>
      <xdr:col>5</xdr:col>
      <xdr:colOff>584200</xdr:colOff>
      <xdr:row>4</xdr:row>
      <xdr:rowOff>170180</xdr:rowOff>
    </xdr:to>
    <xdr:sp macro="" textlink="">
      <xdr:nvSpPr>
        <xdr:cNvPr id="6161" name="Arrow: Pentagon 6160">
          <a:hlinkClick xmlns:r="http://schemas.openxmlformats.org/officeDocument/2006/relationships" r:id="rId3"/>
          <a:extLst>
            <a:ext uri="{FF2B5EF4-FFF2-40B4-BE49-F238E27FC236}">
              <a16:creationId xmlns:a16="http://schemas.microsoft.com/office/drawing/2014/main" id="{D16ACA36-856C-4F23-ACA5-2CF032A23A55}"/>
            </a:ext>
          </a:extLst>
        </xdr:cNvPr>
        <xdr:cNvSpPr/>
      </xdr:nvSpPr>
      <xdr:spPr>
        <a:xfrm>
          <a:off x="2260600" y="266700"/>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Sale - Rep</a:t>
          </a:r>
        </a:p>
      </xdr:txBody>
    </xdr:sp>
    <xdr:clientData/>
  </xdr:twoCellAnchor>
  <xdr:twoCellAnchor>
    <xdr:from>
      <xdr:col>11</xdr:col>
      <xdr:colOff>603250</xdr:colOff>
      <xdr:row>1</xdr:row>
      <xdr:rowOff>63500</xdr:rowOff>
    </xdr:from>
    <xdr:to>
      <xdr:col>14</xdr:col>
      <xdr:colOff>146050</xdr:colOff>
      <xdr:row>4</xdr:row>
      <xdr:rowOff>151130</xdr:rowOff>
    </xdr:to>
    <xdr:sp macro="" textlink="">
      <xdr:nvSpPr>
        <xdr:cNvPr id="6162" name="Arrow: Pentagon 6161">
          <a:hlinkClick xmlns:r="http://schemas.openxmlformats.org/officeDocument/2006/relationships" r:id="rId4"/>
          <a:extLst>
            <a:ext uri="{FF2B5EF4-FFF2-40B4-BE49-F238E27FC236}">
              <a16:creationId xmlns:a16="http://schemas.microsoft.com/office/drawing/2014/main" id="{F424514D-703A-4986-9919-34A96D6BEC00}"/>
            </a:ext>
          </a:extLst>
        </xdr:cNvPr>
        <xdr:cNvSpPr/>
      </xdr:nvSpPr>
      <xdr:spPr>
        <a:xfrm>
          <a:off x="7308850" y="247650"/>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Product</a:t>
          </a:r>
          <a:endParaRPr lang="en-US" sz="1100" b="1"/>
        </a:p>
      </xdr:txBody>
    </xdr:sp>
    <xdr:clientData/>
  </xdr:twoCellAnchor>
  <xdr:twoCellAnchor>
    <xdr:from>
      <xdr:col>8</xdr:col>
      <xdr:colOff>165100</xdr:colOff>
      <xdr:row>2</xdr:row>
      <xdr:rowOff>31750</xdr:rowOff>
    </xdr:from>
    <xdr:to>
      <xdr:col>9</xdr:col>
      <xdr:colOff>520700</xdr:colOff>
      <xdr:row>3</xdr:row>
      <xdr:rowOff>57150</xdr:rowOff>
    </xdr:to>
    <xdr:sp macro="" textlink="">
      <xdr:nvSpPr>
        <xdr:cNvPr id="6164" name="TextBox 6163">
          <a:extLst>
            <a:ext uri="{FF2B5EF4-FFF2-40B4-BE49-F238E27FC236}">
              <a16:creationId xmlns:a16="http://schemas.microsoft.com/office/drawing/2014/main" id="{04B50BF0-867A-4A3D-AE61-77BFC6BE80D3}"/>
            </a:ext>
          </a:extLst>
        </xdr:cNvPr>
        <xdr:cNvSpPr txBox="1"/>
      </xdr:nvSpPr>
      <xdr:spPr>
        <a:xfrm>
          <a:off x="5041900" y="400050"/>
          <a:ext cx="965200" cy="2095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outerShdw blurRad="38100" dist="19050" dir="2700000" algn="tl" rotWithShape="0">
                  <a:schemeClr val="dk1">
                    <a:alpha val="40000"/>
                  </a:schemeClr>
                </a:outerShdw>
              </a:effectLst>
              <a:latin typeface="+mn-lt"/>
              <a:ea typeface="+mn-ea"/>
              <a:cs typeface="+mn-cs"/>
            </a:rPr>
            <a:t>Nexus Tech</a:t>
          </a:r>
          <a:endParaRPr lang="en-US" sz="1200" b="1">
            <a:solidFill>
              <a:schemeClr val="bg1"/>
            </a:solidFill>
            <a:effectLst/>
          </a:endParaRPr>
        </a:p>
        <a:p>
          <a:endParaRPr lang="en-US" sz="1100">
            <a:solidFill>
              <a:schemeClr val="tx1"/>
            </a:solidFill>
          </a:endParaRPr>
        </a:p>
      </xdr:txBody>
    </xdr:sp>
    <xdr:clientData/>
  </xdr:twoCellAnchor>
  <xdr:twoCellAnchor>
    <xdr:from>
      <xdr:col>15</xdr:col>
      <xdr:colOff>279400</xdr:colOff>
      <xdr:row>1</xdr:row>
      <xdr:rowOff>69850</xdr:rowOff>
    </xdr:from>
    <xdr:to>
      <xdr:col>17</xdr:col>
      <xdr:colOff>431800</xdr:colOff>
      <xdr:row>4</xdr:row>
      <xdr:rowOff>157480</xdr:rowOff>
    </xdr:to>
    <xdr:sp macro="" textlink="">
      <xdr:nvSpPr>
        <xdr:cNvPr id="6165" name="Arrow: Pentagon 6164">
          <a:hlinkClick xmlns:r="http://schemas.openxmlformats.org/officeDocument/2006/relationships" r:id="rId5"/>
          <a:extLst>
            <a:ext uri="{FF2B5EF4-FFF2-40B4-BE49-F238E27FC236}">
              <a16:creationId xmlns:a16="http://schemas.microsoft.com/office/drawing/2014/main" id="{717AF43C-D6BC-40B5-9956-B1F80D700C48}"/>
            </a:ext>
          </a:extLst>
        </xdr:cNvPr>
        <xdr:cNvSpPr/>
      </xdr:nvSpPr>
      <xdr:spPr>
        <a:xfrm>
          <a:off x="9423400" y="254000"/>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Category</a:t>
          </a:r>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552450</xdr:colOff>
      <xdr:row>0</xdr:row>
      <xdr:rowOff>44450</xdr:rowOff>
    </xdr:from>
    <xdr:to>
      <xdr:col>4</xdr:col>
      <xdr:colOff>12700</xdr:colOff>
      <xdr:row>2</xdr:row>
      <xdr:rowOff>44450</xdr:rowOff>
    </xdr:to>
    <xdr:sp macro="" textlink="">
      <xdr:nvSpPr>
        <xdr:cNvPr id="2" name="TextBox 1">
          <a:extLst>
            <a:ext uri="{FF2B5EF4-FFF2-40B4-BE49-F238E27FC236}">
              <a16:creationId xmlns:a16="http://schemas.microsoft.com/office/drawing/2014/main" id="{9D70A7AD-E191-417A-B2B7-2FA1BC65F36C}"/>
            </a:ext>
          </a:extLst>
        </xdr:cNvPr>
        <xdr:cNvSpPr txBox="1"/>
      </xdr:nvSpPr>
      <xdr:spPr>
        <a:xfrm>
          <a:off x="552450" y="44450"/>
          <a:ext cx="1898650" cy="368300"/>
        </a:xfrm>
        <a:prstGeom prst="rect">
          <a:avLst/>
        </a:prstGeom>
        <a:solidFill>
          <a:srgbClr val="C6D870"/>
        </a:solidFill>
        <a:ln w="9525" cmpd="sng">
          <a:solidFill>
            <a:srgbClr val="C6D87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355600</xdr:colOff>
      <xdr:row>3</xdr:row>
      <xdr:rowOff>107950</xdr:rowOff>
    </xdr:from>
    <xdr:to>
      <xdr:col>19</xdr:col>
      <xdr:colOff>139700</xdr:colOff>
      <xdr:row>29</xdr:row>
      <xdr:rowOff>88900</xdr:rowOff>
    </xdr:to>
    <xdr:sp macro="" textlink="">
      <xdr:nvSpPr>
        <xdr:cNvPr id="3" name="Rectangle 2">
          <a:extLst>
            <a:ext uri="{FF2B5EF4-FFF2-40B4-BE49-F238E27FC236}">
              <a16:creationId xmlns:a16="http://schemas.microsoft.com/office/drawing/2014/main" id="{61981D80-E73A-4B6D-BDEE-0BA1D5D2C4BE}"/>
            </a:ext>
          </a:extLst>
        </xdr:cNvPr>
        <xdr:cNvSpPr/>
      </xdr:nvSpPr>
      <xdr:spPr>
        <a:xfrm>
          <a:off x="9499600" y="660400"/>
          <a:ext cx="2222500" cy="476885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349250</xdr:colOff>
      <xdr:row>0</xdr:row>
      <xdr:rowOff>0</xdr:rowOff>
    </xdr:from>
    <xdr:to>
      <xdr:col>19</xdr:col>
      <xdr:colOff>165100</xdr:colOff>
      <xdr:row>3</xdr:row>
      <xdr:rowOff>88150</xdr:rowOff>
    </xdr:to>
    <xdr:pic>
      <xdr:nvPicPr>
        <xdr:cNvPr id="4" name="Picture 3">
          <a:extLst>
            <a:ext uri="{FF2B5EF4-FFF2-40B4-BE49-F238E27FC236}">
              <a16:creationId xmlns:a16="http://schemas.microsoft.com/office/drawing/2014/main" id="{D2CC7080-39F9-455D-9E72-079F27C904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10300075" y="-806825"/>
          <a:ext cx="640600" cy="2254250"/>
        </a:xfrm>
        <a:prstGeom prst="rect">
          <a:avLst/>
        </a:prstGeom>
        <a:effectLst>
          <a:reflection blurRad="6350" stA="52000" endA="300" endPos="35000" dir="5400000" sy="-100000" algn="bl" rotWithShape="0"/>
        </a:effectLst>
      </xdr:spPr>
    </xdr:pic>
    <xdr:clientData/>
  </xdr:twoCellAnchor>
  <xdr:twoCellAnchor>
    <xdr:from>
      <xdr:col>16</xdr:col>
      <xdr:colOff>469900</xdr:colOff>
      <xdr:row>0</xdr:row>
      <xdr:rowOff>177800</xdr:rowOff>
    </xdr:from>
    <xdr:to>
      <xdr:col>18</xdr:col>
      <xdr:colOff>215900</xdr:colOff>
      <xdr:row>2</xdr:row>
      <xdr:rowOff>19050</xdr:rowOff>
    </xdr:to>
    <xdr:sp macro="" textlink="">
      <xdr:nvSpPr>
        <xdr:cNvPr id="5" name="TextBox 4">
          <a:extLst>
            <a:ext uri="{FF2B5EF4-FFF2-40B4-BE49-F238E27FC236}">
              <a16:creationId xmlns:a16="http://schemas.microsoft.com/office/drawing/2014/main" id="{018A8297-F72D-47FB-B4D8-E3117F90AE7B}"/>
            </a:ext>
          </a:extLst>
        </xdr:cNvPr>
        <xdr:cNvSpPr txBox="1"/>
      </xdr:nvSpPr>
      <xdr:spPr>
        <a:xfrm>
          <a:off x="10223500" y="177800"/>
          <a:ext cx="965200" cy="2095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outerShdw blurRad="38100" dist="19050" dir="2700000" algn="tl" rotWithShape="0">
                  <a:schemeClr val="dk1">
                    <a:alpha val="40000"/>
                  </a:schemeClr>
                </a:outerShdw>
              </a:effectLst>
              <a:latin typeface="+mn-lt"/>
              <a:ea typeface="+mn-ea"/>
              <a:cs typeface="+mn-cs"/>
            </a:rPr>
            <a:t>Nexus Tech</a:t>
          </a:r>
          <a:endParaRPr lang="en-US" sz="1200" b="1">
            <a:solidFill>
              <a:schemeClr val="bg1"/>
            </a:solidFill>
            <a:effectLst/>
          </a:endParaRPr>
        </a:p>
        <a:p>
          <a:endParaRPr lang="en-US" sz="1100">
            <a:solidFill>
              <a:schemeClr val="tx1"/>
            </a:solidFill>
          </a:endParaRPr>
        </a:p>
      </xdr:txBody>
    </xdr:sp>
    <xdr:clientData/>
  </xdr:twoCellAnchor>
  <xdr:twoCellAnchor editAs="oneCell">
    <xdr:from>
      <xdr:col>15</xdr:col>
      <xdr:colOff>425450</xdr:colOff>
      <xdr:row>4</xdr:row>
      <xdr:rowOff>101600</xdr:rowOff>
    </xdr:from>
    <xdr:to>
      <xdr:col>19</xdr:col>
      <xdr:colOff>69850</xdr:colOff>
      <xdr:row>9</xdr:row>
      <xdr:rowOff>80287</xdr:rowOff>
    </xdr:to>
    <mc:AlternateContent xmlns:mc="http://schemas.openxmlformats.org/markup-compatibility/2006" xmlns:a14="http://schemas.microsoft.com/office/drawing/2010/main">
      <mc:Choice Requires="a14">
        <xdr:graphicFrame macro="">
          <xdr:nvGraphicFramePr>
            <xdr:cNvPr id="6" name="Region 5">
              <a:extLst>
                <a:ext uri="{FF2B5EF4-FFF2-40B4-BE49-F238E27FC236}">
                  <a16:creationId xmlns:a16="http://schemas.microsoft.com/office/drawing/2014/main" id="{D0D54461-D347-4FAC-A627-BB1E6C4CB65D}"/>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9622002" y="831485"/>
              <a:ext cx="2096814" cy="978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448597</xdr:colOff>
      <xdr:row>9</xdr:row>
      <xdr:rowOff>158750</xdr:rowOff>
    </xdr:from>
    <xdr:to>
      <xdr:col>19</xdr:col>
      <xdr:colOff>59403</xdr:colOff>
      <xdr:row>18</xdr:row>
      <xdr:rowOff>114301</xdr:rowOff>
    </xdr:to>
    <mc:AlternateContent xmlns:mc="http://schemas.openxmlformats.org/markup-compatibility/2006" xmlns:a14="http://schemas.microsoft.com/office/drawing/2010/main">
      <mc:Choice Requires="a14">
        <xdr:graphicFrame macro="">
          <xdr:nvGraphicFramePr>
            <xdr:cNvPr id="7" name="Sales Rep 5">
              <a:extLst>
                <a:ext uri="{FF2B5EF4-FFF2-40B4-BE49-F238E27FC236}">
                  <a16:creationId xmlns:a16="http://schemas.microsoft.com/office/drawing/2014/main" id="{BC29B283-8AF4-4C3E-8601-D2F3DE1331D9}"/>
                </a:ext>
              </a:extLst>
            </xdr:cNvPr>
            <xdr:cNvGraphicFramePr/>
          </xdr:nvGraphicFramePr>
          <xdr:xfrm>
            <a:off x="0" y="0"/>
            <a:ext cx="0" cy="0"/>
          </xdr:xfrm>
          <a:graphic>
            <a:graphicData uri="http://schemas.microsoft.com/office/drawing/2010/slicer">
              <sle:slicer xmlns:sle="http://schemas.microsoft.com/office/drawing/2010/slicer" name="Sales Rep 5"/>
            </a:graphicData>
          </a:graphic>
        </xdr:graphicFrame>
      </mc:Choice>
      <mc:Fallback xmlns="">
        <xdr:sp macro="" textlink="">
          <xdr:nvSpPr>
            <xdr:cNvPr id="0" name=""/>
            <xdr:cNvSpPr>
              <a:spLocks noTextEdit="1"/>
            </xdr:cNvSpPr>
          </xdr:nvSpPr>
          <xdr:spPr>
            <a:xfrm>
              <a:off x="9645149" y="1888578"/>
              <a:ext cx="2063220" cy="1597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458839</xdr:colOff>
      <xdr:row>17</xdr:row>
      <xdr:rowOff>155064</xdr:rowOff>
    </xdr:from>
    <xdr:to>
      <xdr:col>19</xdr:col>
      <xdr:colOff>69647</xdr:colOff>
      <xdr:row>25</xdr:row>
      <xdr:rowOff>158751</xdr:rowOff>
    </xdr:to>
    <mc:AlternateContent xmlns:mc="http://schemas.openxmlformats.org/markup-compatibility/2006" xmlns:a14="http://schemas.microsoft.com/office/drawing/2010/main">
      <mc:Choice Requires="a14">
        <xdr:graphicFrame macro="">
          <xdr:nvGraphicFramePr>
            <xdr:cNvPr id="8" name="Product 5">
              <a:extLst>
                <a:ext uri="{FF2B5EF4-FFF2-40B4-BE49-F238E27FC236}">
                  <a16:creationId xmlns:a16="http://schemas.microsoft.com/office/drawing/2014/main" id="{337C4B52-D8CB-40AC-BCE8-1FF3E2B98AAB}"/>
                </a:ext>
              </a:extLst>
            </xdr:cNvPr>
            <xdr:cNvGraphicFramePr/>
          </xdr:nvGraphicFramePr>
          <xdr:xfrm>
            <a:off x="0" y="0"/>
            <a:ext cx="0" cy="0"/>
          </xdr:xfrm>
          <a:graphic>
            <a:graphicData uri="http://schemas.microsoft.com/office/drawing/2010/slicer">
              <sle:slicer xmlns:sle="http://schemas.microsoft.com/office/drawing/2010/slicer" name="Product 5"/>
            </a:graphicData>
          </a:graphic>
        </xdr:graphicFrame>
      </mc:Choice>
      <mc:Fallback xmlns="">
        <xdr:sp macro="" textlink="">
          <xdr:nvSpPr>
            <xdr:cNvPr id="0" name=""/>
            <xdr:cNvSpPr>
              <a:spLocks noTextEdit="1"/>
            </xdr:cNvSpPr>
          </xdr:nvSpPr>
          <xdr:spPr>
            <a:xfrm>
              <a:off x="9655391" y="3344662"/>
              <a:ext cx="2063222" cy="1463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xdr:rowOff>
    </xdr:from>
    <xdr:to>
      <xdr:col>2</xdr:col>
      <xdr:colOff>342900</xdr:colOff>
      <xdr:row>29</xdr:row>
      <xdr:rowOff>133353</xdr:rowOff>
    </xdr:to>
    <xdr:sp macro="" textlink="">
      <xdr:nvSpPr>
        <xdr:cNvPr id="9" name="Rectangle: Single Corner Rounded 8">
          <a:extLst>
            <a:ext uri="{FF2B5EF4-FFF2-40B4-BE49-F238E27FC236}">
              <a16:creationId xmlns:a16="http://schemas.microsoft.com/office/drawing/2014/main" id="{7DD687DC-B051-4F36-A236-E00B16E73AFE}"/>
            </a:ext>
          </a:extLst>
        </xdr:cNvPr>
        <xdr:cNvSpPr/>
      </xdr:nvSpPr>
      <xdr:spPr>
        <a:xfrm rot="5400000">
          <a:off x="-1955800" y="1955803"/>
          <a:ext cx="5473700" cy="1562100"/>
        </a:xfrm>
        <a:prstGeom prst="round1Rect">
          <a:avLst/>
        </a:prstGeom>
        <a:solidFill>
          <a:sysClr val="window" lastClr="FFFFFF"/>
        </a:solidFill>
        <a:ln>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0</xdr:colOff>
      <xdr:row>0</xdr:row>
      <xdr:rowOff>0</xdr:rowOff>
    </xdr:from>
    <xdr:to>
      <xdr:col>2</xdr:col>
      <xdr:colOff>273050</xdr:colOff>
      <xdr:row>28</xdr:row>
      <xdr:rowOff>63501</xdr:rowOff>
    </xdr:to>
    <xdr:sp macro="" textlink="">
      <xdr:nvSpPr>
        <xdr:cNvPr id="10" name="Rectangle: Single Corner Rounded 9">
          <a:extLst>
            <a:ext uri="{FF2B5EF4-FFF2-40B4-BE49-F238E27FC236}">
              <a16:creationId xmlns:a16="http://schemas.microsoft.com/office/drawing/2014/main" id="{16D90A46-8356-4332-9A5A-CB617A4AE13D}"/>
            </a:ext>
          </a:extLst>
        </xdr:cNvPr>
        <xdr:cNvSpPr/>
      </xdr:nvSpPr>
      <xdr:spPr>
        <a:xfrm rot="5400000">
          <a:off x="-1863726" y="1863726"/>
          <a:ext cx="5219701" cy="1492250"/>
        </a:xfrm>
        <a:prstGeom prst="round1Rect">
          <a:avLst/>
        </a:prstGeom>
        <a:solidFill>
          <a:sysClr val="window" lastClr="FFFFFF"/>
        </a:solidFill>
        <a:ln>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editAs="oneCell">
    <xdr:from>
      <xdr:col>0</xdr:col>
      <xdr:colOff>190500</xdr:colOff>
      <xdr:row>0</xdr:row>
      <xdr:rowOff>12697</xdr:rowOff>
    </xdr:from>
    <xdr:to>
      <xdr:col>1</xdr:col>
      <xdr:colOff>577850</xdr:colOff>
      <xdr:row>4</xdr:row>
      <xdr:rowOff>101597</xdr:rowOff>
    </xdr:to>
    <xdr:pic>
      <xdr:nvPicPr>
        <xdr:cNvPr id="11" name="Picture 10">
          <a:hlinkClick xmlns:r="http://schemas.openxmlformats.org/officeDocument/2006/relationships" r:id="rId2"/>
          <a:extLst>
            <a:ext uri="{FF2B5EF4-FFF2-40B4-BE49-F238E27FC236}">
              <a16:creationId xmlns:a16="http://schemas.microsoft.com/office/drawing/2014/main" id="{8B212C20-3D1A-4F28-9B47-EC4D430563E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90500" y="12697"/>
          <a:ext cx="996950" cy="825500"/>
        </a:xfrm>
        <a:prstGeom prst="rect">
          <a:avLst/>
        </a:prstGeom>
      </xdr:spPr>
    </xdr:pic>
    <xdr:clientData/>
  </xdr:twoCellAnchor>
  <xdr:twoCellAnchor>
    <xdr:from>
      <xdr:col>0</xdr:col>
      <xdr:colOff>44450</xdr:colOff>
      <xdr:row>16</xdr:row>
      <xdr:rowOff>133347</xdr:rowOff>
    </xdr:from>
    <xdr:to>
      <xdr:col>2</xdr:col>
      <xdr:colOff>196850</xdr:colOff>
      <xdr:row>20</xdr:row>
      <xdr:rowOff>36827</xdr:rowOff>
    </xdr:to>
    <xdr:sp macro="" textlink="">
      <xdr:nvSpPr>
        <xdr:cNvPr id="12" name="Arrow: Pentagon 11">
          <a:hlinkClick xmlns:r="http://schemas.openxmlformats.org/officeDocument/2006/relationships" r:id="rId4"/>
          <a:extLst>
            <a:ext uri="{FF2B5EF4-FFF2-40B4-BE49-F238E27FC236}">
              <a16:creationId xmlns:a16="http://schemas.microsoft.com/office/drawing/2014/main" id="{C24C27D4-9221-4547-AFE0-C873B07EB727}"/>
            </a:ext>
          </a:extLst>
        </xdr:cNvPr>
        <xdr:cNvSpPr/>
      </xdr:nvSpPr>
      <xdr:spPr>
        <a:xfrm>
          <a:off x="44450" y="307974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Product</a:t>
          </a:r>
          <a:endParaRPr lang="en-US" sz="1100" b="1"/>
        </a:p>
      </xdr:txBody>
    </xdr:sp>
    <xdr:clientData/>
  </xdr:twoCellAnchor>
  <xdr:twoCellAnchor>
    <xdr:from>
      <xdr:col>0</xdr:col>
      <xdr:colOff>57150</xdr:colOff>
      <xdr:row>11</xdr:row>
      <xdr:rowOff>6347</xdr:rowOff>
    </xdr:from>
    <xdr:to>
      <xdr:col>2</xdr:col>
      <xdr:colOff>209550</xdr:colOff>
      <xdr:row>14</xdr:row>
      <xdr:rowOff>93977</xdr:rowOff>
    </xdr:to>
    <xdr:sp macro="" textlink="">
      <xdr:nvSpPr>
        <xdr:cNvPr id="13" name="Arrow: Pentagon 12">
          <a:hlinkClick xmlns:r="http://schemas.openxmlformats.org/officeDocument/2006/relationships" r:id="rId4"/>
          <a:extLst>
            <a:ext uri="{FF2B5EF4-FFF2-40B4-BE49-F238E27FC236}">
              <a16:creationId xmlns:a16="http://schemas.microsoft.com/office/drawing/2014/main" id="{9CC0B3DA-33EE-475A-82A1-70CED3D4D172}"/>
            </a:ext>
          </a:extLst>
        </xdr:cNvPr>
        <xdr:cNvSpPr/>
      </xdr:nvSpPr>
      <xdr:spPr>
        <a:xfrm>
          <a:off x="57150" y="203199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Sale - Rep</a:t>
          </a:r>
        </a:p>
      </xdr:txBody>
    </xdr:sp>
    <xdr:clientData/>
  </xdr:twoCellAnchor>
  <xdr:twoCellAnchor>
    <xdr:from>
      <xdr:col>0</xdr:col>
      <xdr:colOff>57150</xdr:colOff>
      <xdr:row>5</xdr:row>
      <xdr:rowOff>88897</xdr:rowOff>
    </xdr:from>
    <xdr:to>
      <xdr:col>2</xdr:col>
      <xdr:colOff>209550</xdr:colOff>
      <xdr:row>8</xdr:row>
      <xdr:rowOff>176527</xdr:rowOff>
    </xdr:to>
    <xdr:sp macro="" textlink="">
      <xdr:nvSpPr>
        <xdr:cNvPr id="14" name="Arrow: Pentagon 13">
          <a:hlinkClick xmlns:r="http://schemas.openxmlformats.org/officeDocument/2006/relationships" r:id="rId5"/>
          <a:extLst>
            <a:ext uri="{FF2B5EF4-FFF2-40B4-BE49-F238E27FC236}">
              <a16:creationId xmlns:a16="http://schemas.microsoft.com/office/drawing/2014/main" id="{C068DECF-F971-42F6-8677-6800F0DD96B7}"/>
            </a:ext>
          </a:extLst>
        </xdr:cNvPr>
        <xdr:cNvSpPr/>
      </xdr:nvSpPr>
      <xdr:spPr>
        <a:xfrm>
          <a:off x="57150" y="100964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solidFill>
                <a:schemeClr val="dk1"/>
              </a:solidFill>
              <a:latin typeface="+mn-lt"/>
              <a:ea typeface="+mn-ea"/>
              <a:cs typeface="+mn-cs"/>
            </a:rPr>
            <a:t>Region</a:t>
          </a:r>
          <a:endParaRPr lang="en-US" sz="2400" b="1">
            <a:solidFill>
              <a:schemeClr val="dk1"/>
            </a:solidFill>
            <a:latin typeface="+mn-lt"/>
            <a:ea typeface="+mn-ea"/>
            <a:cs typeface="+mn-cs"/>
          </a:endParaRPr>
        </a:p>
      </xdr:txBody>
    </xdr:sp>
    <xdr:clientData/>
  </xdr:twoCellAnchor>
  <xdr:twoCellAnchor>
    <xdr:from>
      <xdr:col>4</xdr:col>
      <xdr:colOff>298856</xdr:colOff>
      <xdr:row>0</xdr:row>
      <xdr:rowOff>86000</xdr:rowOff>
    </xdr:from>
    <xdr:to>
      <xdr:col>7</xdr:col>
      <xdr:colOff>207416</xdr:colOff>
      <xdr:row>5</xdr:row>
      <xdr:rowOff>169412</xdr:rowOff>
    </xdr:to>
    <xdr:sp macro="" textlink="Sheet2!D57">
      <xdr:nvSpPr>
        <xdr:cNvPr id="15" name="Rectangle: Rounded Corners 14">
          <a:extLst>
            <a:ext uri="{FF2B5EF4-FFF2-40B4-BE49-F238E27FC236}">
              <a16:creationId xmlns:a16="http://schemas.microsoft.com/office/drawing/2014/main" id="{E5CBD9F6-437C-497F-A885-68F581577B8A}"/>
            </a:ext>
          </a:extLst>
        </xdr:cNvPr>
        <xdr:cNvSpPr/>
      </xdr:nvSpPr>
      <xdr:spPr>
        <a:xfrm>
          <a:off x="3391030" y="86000"/>
          <a:ext cx="2227690" cy="12337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Times New Roman"/>
              <a:cs typeface="Times New Roman"/>
            </a:rPr>
            <a:t> Total</a:t>
          </a:r>
          <a:r>
            <a:rPr lang="en-US" sz="2000" b="1" i="0" u="none" strike="noStrike" baseline="0">
              <a:solidFill>
                <a:srgbClr val="000000"/>
              </a:solidFill>
              <a:latin typeface="Times New Roman"/>
              <a:cs typeface="Times New Roman"/>
            </a:rPr>
            <a:t> sales </a:t>
          </a:r>
          <a:br>
            <a:rPr lang="en-US" sz="2000" b="1" i="0" u="none" strike="noStrike" baseline="0">
              <a:solidFill>
                <a:srgbClr val="000000"/>
              </a:solidFill>
              <a:latin typeface="Times New Roman"/>
              <a:cs typeface="Times New Roman"/>
            </a:rPr>
          </a:br>
          <a:r>
            <a:rPr lang="en-US" sz="2000" b="1" i="0" u="none" strike="noStrike" baseline="0">
              <a:solidFill>
                <a:srgbClr val="000000"/>
              </a:solidFill>
              <a:latin typeface="Times New Roman"/>
              <a:cs typeface="Times New Roman"/>
            </a:rPr>
            <a:t> $ </a:t>
          </a:r>
          <a:fld id="{232A7C9C-D3DD-4C93-9C9F-21AF21C33783}" type="TxLink">
            <a:rPr lang="en-US" sz="2000" b="1" i="0" u="none" strike="noStrike">
              <a:solidFill>
                <a:srgbClr val="000000"/>
              </a:solidFill>
              <a:latin typeface="Times New Roman"/>
              <a:cs typeface="Times New Roman"/>
            </a:rPr>
            <a:pPr algn="ctr"/>
            <a:t>252.2K</a:t>
          </a:fld>
          <a:endParaRPr lang="en-US" sz="1600"/>
        </a:p>
      </xdr:txBody>
    </xdr:sp>
    <xdr:clientData/>
  </xdr:twoCellAnchor>
  <xdr:twoCellAnchor editAs="oneCell">
    <xdr:from>
      <xdr:col>15</xdr:col>
      <xdr:colOff>514350</xdr:colOff>
      <xdr:row>25</xdr:row>
      <xdr:rowOff>88900</xdr:rowOff>
    </xdr:from>
    <xdr:to>
      <xdr:col>19</xdr:col>
      <xdr:colOff>82551</xdr:colOff>
      <xdr:row>29</xdr:row>
      <xdr:rowOff>50799</xdr:rowOff>
    </xdr:to>
    <mc:AlternateContent xmlns:mc="http://schemas.openxmlformats.org/markup-compatibility/2006" xmlns:a14="http://schemas.microsoft.com/office/drawing/2010/main">
      <mc:Choice Requires="a14">
        <xdr:graphicFrame macro="">
          <xdr:nvGraphicFramePr>
            <xdr:cNvPr id="16" name="Category 3">
              <a:extLst>
                <a:ext uri="{FF2B5EF4-FFF2-40B4-BE49-F238E27FC236}">
                  <a16:creationId xmlns:a16="http://schemas.microsoft.com/office/drawing/2014/main" id="{BCCF995F-5004-47F3-81FC-20015C775D99}"/>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9710902" y="4738268"/>
              <a:ext cx="2020615" cy="691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575587</xdr:colOff>
      <xdr:row>0</xdr:row>
      <xdr:rowOff>44444</xdr:rowOff>
    </xdr:from>
    <xdr:to>
      <xdr:col>13</xdr:col>
      <xdr:colOff>484148</xdr:colOff>
      <xdr:row>5</xdr:row>
      <xdr:rowOff>127856</xdr:rowOff>
    </xdr:to>
    <xdr:sp macro="" textlink="Sheet2!D63">
      <xdr:nvSpPr>
        <xdr:cNvPr id="17" name="Rectangle: Rounded Corners 16">
          <a:extLst>
            <a:ext uri="{FF2B5EF4-FFF2-40B4-BE49-F238E27FC236}">
              <a16:creationId xmlns:a16="http://schemas.microsoft.com/office/drawing/2014/main" id="{7E1A3A7B-33E9-4EA6-8895-C5B0E6816B8F}"/>
            </a:ext>
          </a:extLst>
        </xdr:cNvPr>
        <xdr:cNvSpPr/>
      </xdr:nvSpPr>
      <xdr:spPr>
        <a:xfrm>
          <a:off x="8306022" y="44444"/>
          <a:ext cx="2227691" cy="12337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Times New Roman"/>
              <a:cs typeface="Times New Roman"/>
            </a:rPr>
            <a:t>Sum</a:t>
          </a:r>
          <a:r>
            <a:rPr lang="en-US" sz="2000" b="1" i="0" u="none" strike="noStrike" baseline="0">
              <a:solidFill>
                <a:srgbClr val="000000"/>
              </a:solidFill>
              <a:latin typeface="Times New Roman"/>
              <a:cs typeface="Times New Roman"/>
            </a:rPr>
            <a:t> of Quantity</a:t>
          </a:r>
          <a:br>
            <a:rPr lang="en-US" sz="2000" b="1" i="0" u="none" strike="noStrike" baseline="0">
              <a:solidFill>
                <a:srgbClr val="000000"/>
              </a:solidFill>
              <a:latin typeface="Times New Roman"/>
              <a:cs typeface="Times New Roman"/>
            </a:rPr>
          </a:br>
          <a:fld id="{195CC582-97FA-45D2-A783-190BADFE1965}" type="TxLink">
            <a:rPr lang="en-US" sz="2000" b="1" i="0" u="none" strike="noStrike">
              <a:solidFill>
                <a:srgbClr val="000000"/>
              </a:solidFill>
              <a:latin typeface="Times New Roman"/>
              <a:cs typeface="Times New Roman"/>
            </a:rPr>
            <a:pPr algn="ctr"/>
            <a:t>565</a:t>
          </a:fld>
          <a:endParaRPr lang="en-US" sz="2400" b="1">
            <a:solidFill>
              <a:schemeClr val="tx1"/>
            </a:solidFill>
          </a:endParaRPr>
        </a:p>
      </xdr:txBody>
    </xdr:sp>
    <xdr:clientData/>
  </xdr:twoCellAnchor>
  <xdr:twoCellAnchor>
    <xdr:from>
      <xdr:col>0</xdr:col>
      <xdr:colOff>38100</xdr:colOff>
      <xdr:row>22</xdr:row>
      <xdr:rowOff>101597</xdr:rowOff>
    </xdr:from>
    <xdr:to>
      <xdr:col>2</xdr:col>
      <xdr:colOff>190500</xdr:colOff>
      <xdr:row>26</xdr:row>
      <xdr:rowOff>5077</xdr:rowOff>
    </xdr:to>
    <xdr:sp macro="" textlink="">
      <xdr:nvSpPr>
        <xdr:cNvPr id="20" name="Arrow: Pentagon 19">
          <a:hlinkClick xmlns:r="http://schemas.openxmlformats.org/officeDocument/2006/relationships" r:id="rId6"/>
          <a:extLst>
            <a:ext uri="{FF2B5EF4-FFF2-40B4-BE49-F238E27FC236}">
              <a16:creationId xmlns:a16="http://schemas.microsoft.com/office/drawing/2014/main" id="{9785F8BC-76F5-4563-B42E-33E41DF7D75A}"/>
            </a:ext>
          </a:extLst>
        </xdr:cNvPr>
        <xdr:cNvSpPr/>
      </xdr:nvSpPr>
      <xdr:spPr>
        <a:xfrm>
          <a:off x="38100" y="415289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Category</a:t>
          </a:r>
          <a:endParaRPr lang="en-US" sz="1100" b="1"/>
        </a:p>
      </xdr:txBody>
    </xdr:sp>
    <xdr:clientData/>
  </xdr:twoCellAnchor>
  <xdr:twoCellAnchor>
    <xdr:from>
      <xdr:col>2</xdr:col>
      <xdr:colOff>485533</xdr:colOff>
      <xdr:row>6</xdr:row>
      <xdr:rowOff>41971</xdr:rowOff>
    </xdr:from>
    <xdr:to>
      <xdr:col>15</xdr:col>
      <xdr:colOff>256381</xdr:colOff>
      <xdr:row>29</xdr:row>
      <xdr:rowOff>133609</xdr:rowOff>
    </xdr:to>
    <xdr:sp macro="" textlink="">
      <xdr:nvSpPr>
        <xdr:cNvPr id="21" name="Rectangle: Rounded Corners 20">
          <a:extLst>
            <a:ext uri="{FF2B5EF4-FFF2-40B4-BE49-F238E27FC236}">
              <a16:creationId xmlns:a16="http://schemas.microsoft.com/office/drawing/2014/main" id="{E6BDC717-B8A9-1915-45A6-18B4250A37FE}"/>
            </a:ext>
          </a:extLst>
        </xdr:cNvPr>
        <xdr:cNvSpPr/>
      </xdr:nvSpPr>
      <xdr:spPr>
        <a:xfrm>
          <a:off x="1711740" y="1136799"/>
          <a:ext cx="7741193" cy="428847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525517</xdr:colOff>
      <xdr:row>8</xdr:row>
      <xdr:rowOff>51091</xdr:rowOff>
    </xdr:from>
    <xdr:to>
      <xdr:col>14</xdr:col>
      <xdr:colOff>328448</xdr:colOff>
      <xdr:row>18</xdr:row>
      <xdr:rowOff>65689</xdr:rowOff>
    </xdr:to>
    <xdr:graphicFrame macro="">
      <xdr:nvGraphicFramePr>
        <xdr:cNvPr id="24" name="Chart 23">
          <a:extLst>
            <a:ext uri="{FF2B5EF4-FFF2-40B4-BE49-F238E27FC236}">
              <a16:creationId xmlns:a16="http://schemas.microsoft.com/office/drawing/2014/main" id="{F7828781-6909-4008-9801-A3BD865D1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204051</xdr:colOff>
      <xdr:row>7</xdr:row>
      <xdr:rowOff>167478</xdr:rowOff>
    </xdr:from>
    <xdr:to>
      <xdr:col>7</xdr:col>
      <xdr:colOff>284655</xdr:colOff>
      <xdr:row>18</xdr:row>
      <xdr:rowOff>131379</xdr:rowOff>
    </xdr:to>
    <xdr:graphicFrame macro="">
      <xdr:nvGraphicFramePr>
        <xdr:cNvPr id="26" name="Chart 25">
          <a:extLst>
            <a:ext uri="{FF2B5EF4-FFF2-40B4-BE49-F238E27FC236}">
              <a16:creationId xmlns:a16="http://schemas.microsoft.com/office/drawing/2014/main" id="{28C12B56-1263-44A1-B1BB-1DE5D3A22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335747</xdr:colOff>
      <xdr:row>17</xdr:row>
      <xdr:rowOff>182471</xdr:rowOff>
    </xdr:from>
    <xdr:to>
      <xdr:col>14</xdr:col>
      <xdr:colOff>474425</xdr:colOff>
      <xdr:row>28</xdr:row>
      <xdr:rowOff>94886</xdr:rowOff>
    </xdr:to>
    <xdr:graphicFrame macro="">
      <xdr:nvGraphicFramePr>
        <xdr:cNvPr id="27" name="Chart 26">
          <a:extLst>
            <a:ext uri="{FF2B5EF4-FFF2-40B4-BE49-F238E27FC236}">
              <a16:creationId xmlns:a16="http://schemas.microsoft.com/office/drawing/2014/main" id="{D4F58329-3320-4760-8EF9-41E4F3291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20</xdr:col>
      <xdr:colOff>262759</xdr:colOff>
      <xdr:row>1</xdr:row>
      <xdr:rowOff>160575</xdr:rowOff>
    </xdr:from>
    <xdr:ext cx="184731" cy="264560"/>
    <xdr:sp macro="" textlink="">
      <xdr:nvSpPr>
        <xdr:cNvPr id="31" name="TextBox 30">
          <a:extLst>
            <a:ext uri="{FF2B5EF4-FFF2-40B4-BE49-F238E27FC236}">
              <a16:creationId xmlns:a16="http://schemas.microsoft.com/office/drawing/2014/main" id="{EF884711-5EF8-83D4-7E25-DB0E8B81F58C}"/>
            </a:ext>
          </a:extLst>
        </xdr:cNvPr>
        <xdr:cNvSpPr txBox="1"/>
      </xdr:nvSpPr>
      <xdr:spPr>
        <a:xfrm>
          <a:off x="12524828" y="3430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552450</xdr:colOff>
      <xdr:row>0</xdr:row>
      <xdr:rowOff>44450</xdr:rowOff>
    </xdr:from>
    <xdr:to>
      <xdr:col>4</xdr:col>
      <xdr:colOff>12700</xdr:colOff>
      <xdr:row>2</xdr:row>
      <xdr:rowOff>44450</xdr:rowOff>
    </xdr:to>
    <xdr:sp macro="" textlink="">
      <xdr:nvSpPr>
        <xdr:cNvPr id="2" name="TextBox 1">
          <a:extLst>
            <a:ext uri="{FF2B5EF4-FFF2-40B4-BE49-F238E27FC236}">
              <a16:creationId xmlns:a16="http://schemas.microsoft.com/office/drawing/2014/main" id="{8366327D-0C12-49FE-BDE9-34FB13CFC3A9}"/>
            </a:ext>
          </a:extLst>
        </xdr:cNvPr>
        <xdr:cNvSpPr txBox="1"/>
      </xdr:nvSpPr>
      <xdr:spPr>
        <a:xfrm>
          <a:off x="552450" y="44450"/>
          <a:ext cx="1898650" cy="368300"/>
        </a:xfrm>
        <a:prstGeom prst="rect">
          <a:avLst/>
        </a:prstGeom>
        <a:solidFill>
          <a:srgbClr val="C6D870"/>
        </a:solidFill>
        <a:ln w="9525" cmpd="sng">
          <a:solidFill>
            <a:srgbClr val="C6D87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355600</xdr:colOff>
      <xdr:row>3</xdr:row>
      <xdr:rowOff>107950</xdr:rowOff>
    </xdr:from>
    <xdr:to>
      <xdr:col>19</xdr:col>
      <xdr:colOff>139700</xdr:colOff>
      <xdr:row>29</xdr:row>
      <xdr:rowOff>88900</xdr:rowOff>
    </xdr:to>
    <xdr:sp macro="" textlink="">
      <xdr:nvSpPr>
        <xdr:cNvPr id="3" name="Rectangle 2">
          <a:extLst>
            <a:ext uri="{FF2B5EF4-FFF2-40B4-BE49-F238E27FC236}">
              <a16:creationId xmlns:a16="http://schemas.microsoft.com/office/drawing/2014/main" id="{71319CEF-560F-49CB-9D9A-892908F90539}"/>
            </a:ext>
          </a:extLst>
        </xdr:cNvPr>
        <xdr:cNvSpPr/>
      </xdr:nvSpPr>
      <xdr:spPr>
        <a:xfrm>
          <a:off x="9499600" y="660400"/>
          <a:ext cx="2222500" cy="476885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349250</xdr:colOff>
      <xdr:row>0</xdr:row>
      <xdr:rowOff>0</xdr:rowOff>
    </xdr:from>
    <xdr:to>
      <xdr:col>19</xdr:col>
      <xdr:colOff>165100</xdr:colOff>
      <xdr:row>3</xdr:row>
      <xdr:rowOff>88150</xdr:rowOff>
    </xdr:to>
    <xdr:pic>
      <xdr:nvPicPr>
        <xdr:cNvPr id="4" name="Picture 3">
          <a:extLst>
            <a:ext uri="{FF2B5EF4-FFF2-40B4-BE49-F238E27FC236}">
              <a16:creationId xmlns:a16="http://schemas.microsoft.com/office/drawing/2014/main" id="{C5859B0B-50FC-4D3D-870D-FE2841042B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10300075" y="-806825"/>
          <a:ext cx="640600" cy="2254250"/>
        </a:xfrm>
        <a:prstGeom prst="rect">
          <a:avLst/>
        </a:prstGeom>
        <a:effectLst>
          <a:reflection blurRad="6350" stA="52000" endA="300" endPos="35000" dir="5400000" sy="-100000" algn="bl" rotWithShape="0"/>
        </a:effectLst>
      </xdr:spPr>
    </xdr:pic>
    <xdr:clientData/>
  </xdr:twoCellAnchor>
  <xdr:twoCellAnchor>
    <xdr:from>
      <xdr:col>16</xdr:col>
      <xdr:colOff>469900</xdr:colOff>
      <xdr:row>0</xdr:row>
      <xdr:rowOff>177800</xdr:rowOff>
    </xdr:from>
    <xdr:to>
      <xdr:col>18</xdr:col>
      <xdr:colOff>215900</xdr:colOff>
      <xdr:row>2</xdr:row>
      <xdr:rowOff>19050</xdr:rowOff>
    </xdr:to>
    <xdr:sp macro="" textlink="">
      <xdr:nvSpPr>
        <xdr:cNvPr id="5" name="TextBox 4">
          <a:extLst>
            <a:ext uri="{FF2B5EF4-FFF2-40B4-BE49-F238E27FC236}">
              <a16:creationId xmlns:a16="http://schemas.microsoft.com/office/drawing/2014/main" id="{1F7F066C-0BBE-4878-9B8C-EDB9A6E18A86}"/>
            </a:ext>
          </a:extLst>
        </xdr:cNvPr>
        <xdr:cNvSpPr txBox="1"/>
      </xdr:nvSpPr>
      <xdr:spPr>
        <a:xfrm>
          <a:off x="10223500" y="177800"/>
          <a:ext cx="965200" cy="2095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outerShdw blurRad="38100" dist="19050" dir="2700000" algn="tl" rotWithShape="0">
                  <a:schemeClr val="dk1">
                    <a:alpha val="40000"/>
                  </a:schemeClr>
                </a:outerShdw>
              </a:effectLst>
              <a:latin typeface="+mn-lt"/>
              <a:ea typeface="+mn-ea"/>
              <a:cs typeface="+mn-cs"/>
            </a:rPr>
            <a:t>Nexus Tech</a:t>
          </a:r>
          <a:endParaRPr lang="en-US" sz="1200" b="1">
            <a:solidFill>
              <a:schemeClr val="bg1"/>
            </a:solidFill>
            <a:effectLst/>
          </a:endParaRPr>
        </a:p>
        <a:p>
          <a:endParaRPr lang="en-US" sz="1100">
            <a:solidFill>
              <a:schemeClr val="tx1"/>
            </a:solidFill>
          </a:endParaRPr>
        </a:p>
      </xdr:txBody>
    </xdr:sp>
    <xdr:clientData/>
  </xdr:twoCellAnchor>
  <xdr:twoCellAnchor editAs="oneCell">
    <xdr:from>
      <xdr:col>15</xdr:col>
      <xdr:colOff>425450</xdr:colOff>
      <xdr:row>4</xdr:row>
      <xdr:rowOff>101600</xdr:rowOff>
    </xdr:from>
    <xdr:to>
      <xdr:col>19</xdr:col>
      <xdr:colOff>69850</xdr:colOff>
      <xdr:row>9</xdr:row>
      <xdr:rowOff>127000</xdr:rowOff>
    </xdr:to>
    <mc:AlternateContent xmlns:mc="http://schemas.openxmlformats.org/markup-compatibility/2006" xmlns:a14="http://schemas.microsoft.com/office/drawing/2010/main">
      <mc:Choice Requires="a14">
        <xdr:graphicFrame macro="">
          <xdr:nvGraphicFramePr>
            <xdr:cNvPr id="6" name="Region 6">
              <a:extLst>
                <a:ext uri="{FF2B5EF4-FFF2-40B4-BE49-F238E27FC236}">
                  <a16:creationId xmlns:a16="http://schemas.microsoft.com/office/drawing/2014/main" id="{8481E964-1FF8-44F0-A4A6-4130B712567B}"/>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9569450" y="838200"/>
              <a:ext cx="2082800" cy="94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448597</xdr:colOff>
      <xdr:row>9</xdr:row>
      <xdr:rowOff>158750</xdr:rowOff>
    </xdr:from>
    <xdr:to>
      <xdr:col>19</xdr:col>
      <xdr:colOff>59403</xdr:colOff>
      <xdr:row>18</xdr:row>
      <xdr:rowOff>114300</xdr:rowOff>
    </xdr:to>
    <mc:AlternateContent xmlns:mc="http://schemas.openxmlformats.org/markup-compatibility/2006" xmlns:a14="http://schemas.microsoft.com/office/drawing/2010/main">
      <mc:Choice Requires="a14">
        <xdr:graphicFrame macro="">
          <xdr:nvGraphicFramePr>
            <xdr:cNvPr id="7" name="Sales Rep 6">
              <a:extLst>
                <a:ext uri="{FF2B5EF4-FFF2-40B4-BE49-F238E27FC236}">
                  <a16:creationId xmlns:a16="http://schemas.microsoft.com/office/drawing/2014/main" id="{0F296011-4DD1-4AAF-B5C9-3137D46486B1}"/>
                </a:ext>
              </a:extLst>
            </xdr:cNvPr>
            <xdr:cNvGraphicFramePr/>
          </xdr:nvGraphicFramePr>
          <xdr:xfrm>
            <a:off x="0" y="0"/>
            <a:ext cx="0" cy="0"/>
          </xdr:xfrm>
          <a:graphic>
            <a:graphicData uri="http://schemas.microsoft.com/office/drawing/2010/slicer">
              <sle:slicer xmlns:sle="http://schemas.microsoft.com/office/drawing/2010/slicer" name="Sales Rep 6"/>
            </a:graphicData>
          </a:graphic>
        </xdr:graphicFrame>
      </mc:Choice>
      <mc:Fallback xmlns="">
        <xdr:sp macro="" textlink="">
          <xdr:nvSpPr>
            <xdr:cNvPr id="0" name=""/>
            <xdr:cNvSpPr>
              <a:spLocks noTextEdit="1"/>
            </xdr:cNvSpPr>
          </xdr:nvSpPr>
          <xdr:spPr>
            <a:xfrm>
              <a:off x="9592597" y="1816100"/>
              <a:ext cx="2049206" cy="1612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458839</xdr:colOff>
      <xdr:row>17</xdr:row>
      <xdr:rowOff>155064</xdr:rowOff>
    </xdr:from>
    <xdr:to>
      <xdr:col>19</xdr:col>
      <xdr:colOff>69647</xdr:colOff>
      <xdr:row>25</xdr:row>
      <xdr:rowOff>158750</xdr:rowOff>
    </xdr:to>
    <mc:AlternateContent xmlns:mc="http://schemas.openxmlformats.org/markup-compatibility/2006" xmlns:a14="http://schemas.microsoft.com/office/drawing/2010/main">
      <mc:Choice Requires="a14">
        <xdr:graphicFrame macro="">
          <xdr:nvGraphicFramePr>
            <xdr:cNvPr id="8" name="Product 6">
              <a:extLst>
                <a:ext uri="{FF2B5EF4-FFF2-40B4-BE49-F238E27FC236}">
                  <a16:creationId xmlns:a16="http://schemas.microsoft.com/office/drawing/2014/main" id="{1E3FA695-D927-42D3-BDCC-EDDBD43C5049}"/>
                </a:ext>
              </a:extLst>
            </xdr:cNvPr>
            <xdr:cNvGraphicFramePr/>
          </xdr:nvGraphicFramePr>
          <xdr:xfrm>
            <a:off x="0" y="0"/>
            <a:ext cx="0" cy="0"/>
          </xdr:xfrm>
          <a:graphic>
            <a:graphicData uri="http://schemas.microsoft.com/office/drawing/2010/slicer">
              <sle:slicer xmlns:sle="http://schemas.microsoft.com/office/drawing/2010/slicer" name="Product 6"/>
            </a:graphicData>
          </a:graphic>
        </xdr:graphicFrame>
      </mc:Choice>
      <mc:Fallback xmlns="">
        <xdr:sp macro="" textlink="">
          <xdr:nvSpPr>
            <xdr:cNvPr id="0" name=""/>
            <xdr:cNvSpPr>
              <a:spLocks noTextEdit="1"/>
            </xdr:cNvSpPr>
          </xdr:nvSpPr>
          <xdr:spPr>
            <a:xfrm>
              <a:off x="9602839" y="3285614"/>
              <a:ext cx="2049208" cy="14768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xdr:rowOff>
    </xdr:from>
    <xdr:to>
      <xdr:col>2</xdr:col>
      <xdr:colOff>342900</xdr:colOff>
      <xdr:row>29</xdr:row>
      <xdr:rowOff>133353</xdr:rowOff>
    </xdr:to>
    <xdr:sp macro="" textlink="">
      <xdr:nvSpPr>
        <xdr:cNvPr id="9" name="Rectangle: Single Corner Rounded 8">
          <a:extLst>
            <a:ext uri="{FF2B5EF4-FFF2-40B4-BE49-F238E27FC236}">
              <a16:creationId xmlns:a16="http://schemas.microsoft.com/office/drawing/2014/main" id="{A31370D7-501F-499F-AA15-5E8BE921A24D}"/>
            </a:ext>
          </a:extLst>
        </xdr:cNvPr>
        <xdr:cNvSpPr/>
      </xdr:nvSpPr>
      <xdr:spPr>
        <a:xfrm rot="5400000">
          <a:off x="-1955800" y="1955803"/>
          <a:ext cx="5473700" cy="1562100"/>
        </a:xfrm>
        <a:prstGeom prst="round1Rect">
          <a:avLst/>
        </a:prstGeom>
        <a:solidFill>
          <a:sysClr val="window" lastClr="FFFFFF"/>
        </a:solidFill>
        <a:ln>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0</xdr:colOff>
      <xdr:row>0</xdr:row>
      <xdr:rowOff>0</xdr:rowOff>
    </xdr:from>
    <xdr:to>
      <xdr:col>2</xdr:col>
      <xdr:colOff>273050</xdr:colOff>
      <xdr:row>28</xdr:row>
      <xdr:rowOff>63501</xdr:rowOff>
    </xdr:to>
    <xdr:sp macro="" textlink="">
      <xdr:nvSpPr>
        <xdr:cNvPr id="10" name="Rectangle: Single Corner Rounded 9">
          <a:extLst>
            <a:ext uri="{FF2B5EF4-FFF2-40B4-BE49-F238E27FC236}">
              <a16:creationId xmlns:a16="http://schemas.microsoft.com/office/drawing/2014/main" id="{6F4C84F0-5133-4C24-A91C-33E832DAACAD}"/>
            </a:ext>
          </a:extLst>
        </xdr:cNvPr>
        <xdr:cNvSpPr/>
      </xdr:nvSpPr>
      <xdr:spPr>
        <a:xfrm rot="5400000">
          <a:off x="-1863726" y="1863726"/>
          <a:ext cx="5219701" cy="1492250"/>
        </a:xfrm>
        <a:prstGeom prst="round1Rect">
          <a:avLst/>
        </a:prstGeom>
        <a:solidFill>
          <a:sysClr val="window" lastClr="FFFFFF"/>
        </a:solidFill>
        <a:ln>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editAs="oneCell">
    <xdr:from>
      <xdr:col>0</xdr:col>
      <xdr:colOff>190500</xdr:colOff>
      <xdr:row>0</xdr:row>
      <xdr:rowOff>12697</xdr:rowOff>
    </xdr:from>
    <xdr:to>
      <xdr:col>1</xdr:col>
      <xdr:colOff>577850</xdr:colOff>
      <xdr:row>4</xdr:row>
      <xdr:rowOff>101597</xdr:rowOff>
    </xdr:to>
    <xdr:pic>
      <xdr:nvPicPr>
        <xdr:cNvPr id="11" name="Picture 10">
          <a:hlinkClick xmlns:r="http://schemas.openxmlformats.org/officeDocument/2006/relationships" r:id="rId2"/>
          <a:extLst>
            <a:ext uri="{FF2B5EF4-FFF2-40B4-BE49-F238E27FC236}">
              <a16:creationId xmlns:a16="http://schemas.microsoft.com/office/drawing/2014/main" id="{B935CC11-C10C-4802-AE53-9E5F8F96E53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90500" y="12697"/>
          <a:ext cx="996950" cy="825500"/>
        </a:xfrm>
        <a:prstGeom prst="rect">
          <a:avLst/>
        </a:prstGeom>
      </xdr:spPr>
    </xdr:pic>
    <xdr:clientData/>
  </xdr:twoCellAnchor>
  <xdr:twoCellAnchor>
    <xdr:from>
      <xdr:col>0</xdr:col>
      <xdr:colOff>44450</xdr:colOff>
      <xdr:row>16</xdr:row>
      <xdr:rowOff>133347</xdr:rowOff>
    </xdr:from>
    <xdr:to>
      <xdr:col>2</xdr:col>
      <xdr:colOff>196850</xdr:colOff>
      <xdr:row>20</xdr:row>
      <xdr:rowOff>36827</xdr:rowOff>
    </xdr:to>
    <xdr:sp macro="" textlink="">
      <xdr:nvSpPr>
        <xdr:cNvPr id="12" name="Arrow: Pentagon 11">
          <a:hlinkClick xmlns:r="http://schemas.openxmlformats.org/officeDocument/2006/relationships" r:id="rId4"/>
          <a:extLst>
            <a:ext uri="{FF2B5EF4-FFF2-40B4-BE49-F238E27FC236}">
              <a16:creationId xmlns:a16="http://schemas.microsoft.com/office/drawing/2014/main" id="{5583469E-B78B-40A8-BD63-D7B6466778C8}"/>
            </a:ext>
          </a:extLst>
        </xdr:cNvPr>
        <xdr:cNvSpPr/>
      </xdr:nvSpPr>
      <xdr:spPr>
        <a:xfrm>
          <a:off x="44450" y="307974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Product</a:t>
          </a:r>
          <a:endParaRPr lang="en-US" sz="1100" b="1"/>
        </a:p>
      </xdr:txBody>
    </xdr:sp>
    <xdr:clientData/>
  </xdr:twoCellAnchor>
  <xdr:twoCellAnchor>
    <xdr:from>
      <xdr:col>0</xdr:col>
      <xdr:colOff>57150</xdr:colOff>
      <xdr:row>11</xdr:row>
      <xdr:rowOff>6347</xdr:rowOff>
    </xdr:from>
    <xdr:to>
      <xdr:col>2</xdr:col>
      <xdr:colOff>209550</xdr:colOff>
      <xdr:row>14</xdr:row>
      <xdr:rowOff>93977</xdr:rowOff>
    </xdr:to>
    <xdr:sp macro="" textlink="">
      <xdr:nvSpPr>
        <xdr:cNvPr id="13" name="Arrow: Pentagon 12">
          <a:hlinkClick xmlns:r="http://schemas.openxmlformats.org/officeDocument/2006/relationships" r:id="rId5"/>
          <a:extLst>
            <a:ext uri="{FF2B5EF4-FFF2-40B4-BE49-F238E27FC236}">
              <a16:creationId xmlns:a16="http://schemas.microsoft.com/office/drawing/2014/main" id="{3145423A-33F9-4B05-80FC-7F1A9015E2D1}"/>
            </a:ext>
          </a:extLst>
        </xdr:cNvPr>
        <xdr:cNvSpPr/>
      </xdr:nvSpPr>
      <xdr:spPr>
        <a:xfrm>
          <a:off x="57150" y="203199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Sale - Rep</a:t>
          </a:r>
        </a:p>
      </xdr:txBody>
    </xdr:sp>
    <xdr:clientData/>
  </xdr:twoCellAnchor>
  <xdr:twoCellAnchor>
    <xdr:from>
      <xdr:col>0</xdr:col>
      <xdr:colOff>57150</xdr:colOff>
      <xdr:row>5</xdr:row>
      <xdr:rowOff>88897</xdr:rowOff>
    </xdr:from>
    <xdr:to>
      <xdr:col>2</xdr:col>
      <xdr:colOff>209550</xdr:colOff>
      <xdr:row>8</xdr:row>
      <xdr:rowOff>176527</xdr:rowOff>
    </xdr:to>
    <xdr:sp macro="" textlink="">
      <xdr:nvSpPr>
        <xdr:cNvPr id="14" name="Arrow: Pentagon 13">
          <a:hlinkClick xmlns:r="http://schemas.openxmlformats.org/officeDocument/2006/relationships" r:id="rId6"/>
          <a:extLst>
            <a:ext uri="{FF2B5EF4-FFF2-40B4-BE49-F238E27FC236}">
              <a16:creationId xmlns:a16="http://schemas.microsoft.com/office/drawing/2014/main" id="{DA068573-7221-4E75-9E38-C2241D68FD43}"/>
            </a:ext>
          </a:extLst>
        </xdr:cNvPr>
        <xdr:cNvSpPr/>
      </xdr:nvSpPr>
      <xdr:spPr>
        <a:xfrm>
          <a:off x="57150" y="100964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solidFill>
                <a:schemeClr val="dk1"/>
              </a:solidFill>
              <a:latin typeface="+mn-lt"/>
              <a:ea typeface="+mn-ea"/>
              <a:cs typeface="+mn-cs"/>
            </a:rPr>
            <a:t>Region</a:t>
          </a:r>
          <a:endParaRPr lang="en-US" sz="2400" b="1">
            <a:solidFill>
              <a:schemeClr val="dk1"/>
            </a:solidFill>
            <a:latin typeface="+mn-lt"/>
            <a:ea typeface="+mn-ea"/>
            <a:cs typeface="+mn-cs"/>
          </a:endParaRPr>
        </a:p>
      </xdr:txBody>
    </xdr:sp>
    <xdr:clientData/>
  </xdr:twoCellAnchor>
  <xdr:twoCellAnchor editAs="oneCell">
    <xdr:from>
      <xdr:col>15</xdr:col>
      <xdr:colOff>514350</xdr:colOff>
      <xdr:row>25</xdr:row>
      <xdr:rowOff>88900</xdr:rowOff>
    </xdr:from>
    <xdr:to>
      <xdr:col>19</xdr:col>
      <xdr:colOff>82551</xdr:colOff>
      <xdr:row>29</xdr:row>
      <xdr:rowOff>50799</xdr:rowOff>
    </xdr:to>
    <mc:AlternateContent xmlns:mc="http://schemas.openxmlformats.org/markup-compatibility/2006" xmlns:a14="http://schemas.microsoft.com/office/drawing/2010/main">
      <mc:Choice Requires="a14">
        <xdr:graphicFrame macro="">
          <xdr:nvGraphicFramePr>
            <xdr:cNvPr id="16" name="Category 4">
              <a:extLst>
                <a:ext uri="{FF2B5EF4-FFF2-40B4-BE49-F238E27FC236}">
                  <a16:creationId xmlns:a16="http://schemas.microsoft.com/office/drawing/2014/main" id="{39FEE13C-9F3F-4887-B4C8-9818E73EF844}"/>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9658350" y="4692650"/>
              <a:ext cx="2006601" cy="698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22</xdr:row>
      <xdr:rowOff>101597</xdr:rowOff>
    </xdr:from>
    <xdr:to>
      <xdr:col>2</xdr:col>
      <xdr:colOff>190500</xdr:colOff>
      <xdr:row>26</xdr:row>
      <xdr:rowOff>5077</xdr:rowOff>
    </xdr:to>
    <xdr:sp macro="" textlink="">
      <xdr:nvSpPr>
        <xdr:cNvPr id="20" name="Arrow: Pentagon 19">
          <a:hlinkClick xmlns:r="http://schemas.openxmlformats.org/officeDocument/2006/relationships" r:id="rId7"/>
          <a:extLst>
            <a:ext uri="{FF2B5EF4-FFF2-40B4-BE49-F238E27FC236}">
              <a16:creationId xmlns:a16="http://schemas.microsoft.com/office/drawing/2014/main" id="{362B7A83-40BD-433E-B515-FE9F6FC3E880}"/>
            </a:ext>
          </a:extLst>
        </xdr:cNvPr>
        <xdr:cNvSpPr/>
      </xdr:nvSpPr>
      <xdr:spPr>
        <a:xfrm>
          <a:off x="38100" y="415289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Category</a:t>
          </a:r>
          <a:endParaRPr lang="en-US" sz="1100" b="1"/>
        </a:p>
      </xdr:txBody>
    </xdr:sp>
    <xdr:clientData/>
  </xdr:twoCellAnchor>
  <xdr:twoCellAnchor>
    <xdr:from>
      <xdr:col>2</xdr:col>
      <xdr:colOff>438150</xdr:colOff>
      <xdr:row>6</xdr:row>
      <xdr:rowOff>114301</xdr:rowOff>
    </xdr:from>
    <xdr:to>
      <xdr:col>15</xdr:col>
      <xdr:colOff>254543</xdr:colOff>
      <xdr:row>30</xdr:row>
      <xdr:rowOff>12701</xdr:rowOff>
    </xdr:to>
    <xdr:sp macro="" textlink="">
      <xdr:nvSpPr>
        <xdr:cNvPr id="21" name="Rectangle: Rounded Corners 20">
          <a:extLst>
            <a:ext uri="{FF2B5EF4-FFF2-40B4-BE49-F238E27FC236}">
              <a16:creationId xmlns:a16="http://schemas.microsoft.com/office/drawing/2014/main" id="{A3B9515C-F242-483C-80AB-ABA347BBD0B2}"/>
            </a:ext>
          </a:extLst>
        </xdr:cNvPr>
        <xdr:cNvSpPr/>
      </xdr:nvSpPr>
      <xdr:spPr>
        <a:xfrm>
          <a:off x="1657350" y="1219201"/>
          <a:ext cx="7741193" cy="4318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60780</xdr:colOff>
      <xdr:row>7</xdr:row>
      <xdr:rowOff>45356</xdr:rowOff>
    </xdr:from>
    <xdr:to>
      <xdr:col>7</xdr:col>
      <xdr:colOff>489858</xdr:colOff>
      <xdr:row>28</xdr:row>
      <xdr:rowOff>217713</xdr:rowOff>
    </xdr:to>
    <xdr:graphicFrame macro="">
      <xdr:nvGraphicFramePr>
        <xdr:cNvPr id="22" name="Chart 21">
          <a:extLst>
            <a:ext uri="{FF2B5EF4-FFF2-40B4-BE49-F238E27FC236}">
              <a16:creationId xmlns:a16="http://schemas.microsoft.com/office/drawing/2014/main" id="{700FAEDE-E6D3-470E-98CC-75BA11869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181430</xdr:colOff>
      <xdr:row>10</xdr:row>
      <xdr:rowOff>9071</xdr:rowOff>
    </xdr:from>
    <xdr:to>
      <xdr:col>14</xdr:col>
      <xdr:colOff>571501</xdr:colOff>
      <xdr:row>27</xdr:row>
      <xdr:rowOff>76791</xdr:rowOff>
    </xdr:to>
    <xdr:graphicFrame macro="">
      <xdr:nvGraphicFramePr>
        <xdr:cNvPr id="23" name="Chart 22">
          <a:extLst>
            <a:ext uri="{FF2B5EF4-FFF2-40B4-BE49-F238E27FC236}">
              <a16:creationId xmlns:a16="http://schemas.microsoft.com/office/drawing/2014/main" id="{3E5745B8-8CD7-4782-94BC-EDC377174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54429</xdr:colOff>
      <xdr:row>0</xdr:row>
      <xdr:rowOff>172357</xdr:rowOff>
    </xdr:from>
    <xdr:to>
      <xdr:col>6</xdr:col>
      <xdr:colOff>739976</xdr:colOff>
      <xdr:row>6</xdr:row>
      <xdr:rowOff>45417</xdr:rowOff>
    </xdr:to>
    <xdr:sp macro="" textlink="Sheet2!D57">
      <xdr:nvSpPr>
        <xdr:cNvPr id="24" name="Rectangle: Rounded Corners 23">
          <a:extLst>
            <a:ext uri="{FF2B5EF4-FFF2-40B4-BE49-F238E27FC236}">
              <a16:creationId xmlns:a16="http://schemas.microsoft.com/office/drawing/2014/main" id="{02AB47E0-DBBE-4B44-BF67-8CAACEE316A7}"/>
            </a:ext>
          </a:extLst>
        </xdr:cNvPr>
        <xdr:cNvSpPr/>
      </xdr:nvSpPr>
      <xdr:spPr>
        <a:xfrm>
          <a:off x="3138715" y="172357"/>
          <a:ext cx="2227690" cy="12337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Times New Roman"/>
              <a:cs typeface="Times New Roman"/>
            </a:rPr>
            <a:t> Total</a:t>
          </a:r>
          <a:r>
            <a:rPr lang="en-US" sz="2000" b="1" i="0" u="none" strike="noStrike" baseline="0">
              <a:solidFill>
                <a:srgbClr val="000000"/>
              </a:solidFill>
              <a:latin typeface="Times New Roman"/>
              <a:cs typeface="Times New Roman"/>
            </a:rPr>
            <a:t> sales </a:t>
          </a:r>
          <a:br>
            <a:rPr lang="en-US" sz="2000" b="1" i="0" u="none" strike="noStrike" baseline="0">
              <a:solidFill>
                <a:srgbClr val="000000"/>
              </a:solidFill>
              <a:latin typeface="Times New Roman"/>
              <a:cs typeface="Times New Roman"/>
            </a:rPr>
          </a:br>
          <a:r>
            <a:rPr lang="en-US" sz="2000" b="1" i="0" u="none" strike="noStrike" baseline="0">
              <a:solidFill>
                <a:srgbClr val="000000"/>
              </a:solidFill>
              <a:latin typeface="Times New Roman"/>
              <a:cs typeface="Times New Roman"/>
            </a:rPr>
            <a:t> $ </a:t>
          </a:r>
          <a:fld id="{232A7C9C-D3DD-4C93-9C9F-21AF21C33783}" type="TxLink">
            <a:rPr lang="en-US" sz="2000" b="1" i="0" u="none" strike="noStrike">
              <a:solidFill>
                <a:srgbClr val="000000"/>
              </a:solidFill>
              <a:latin typeface="Times New Roman"/>
              <a:cs typeface="Times New Roman"/>
            </a:rPr>
            <a:pPr algn="ctr"/>
            <a:t>252.2K</a:t>
          </a:fld>
          <a:endParaRPr lang="en-US" sz="1600"/>
        </a:p>
      </xdr:txBody>
    </xdr:sp>
    <xdr:clientData/>
  </xdr:twoCellAnchor>
  <xdr:twoCellAnchor>
    <xdr:from>
      <xdr:col>10</xdr:col>
      <xdr:colOff>272143</xdr:colOff>
      <xdr:row>0</xdr:row>
      <xdr:rowOff>172357</xdr:rowOff>
    </xdr:from>
    <xdr:to>
      <xdr:col>13</xdr:col>
      <xdr:colOff>186619</xdr:colOff>
      <xdr:row>6</xdr:row>
      <xdr:rowOff>45417</xdr:rowOff>
    </xdr:to>
    <xdr:sp macro="" textlink="Sheet2!D63">
      <xdr:nvSpPr>
        <xdr:cNvPr id="25" name="Rectangle: Rounded Corners 24">
          <a:extLst>
            <a:ext uri="{FF2B5EF4-FFF2-40B4-BE49-F238E27FC236}">
              <a16:creationId xmlns:a16="http://schemas.microsoft.com/office/drawing/2014/main" id="{594F4CA5-1DB0-43EF-A418-0D15CCD5EAE6}"/>
            </a:ext>
          </a:extLst>
        </xdr:cNvPr>
        <xdr:cNvSpPr/>
      </xdr:nvSpPr>
      <xdr:spPr>
        <a:xfrm>
          <a:off x="7982857" y="172357"/>
          <a:ext cx="2227691" cy="12337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Times New Roman"/>
              <a:cs typeface="Times New Roman"/>
            </a:rPr>
            <a:t>Sum</a:t>
          </a:r>
          <a:r>
            <a:rPr lang="en-US" sz="2000" b="1" i="0" u="none" strike="noStrike" baseline="0">
              <a:solidFill>
                <a:srgbClr val="000000"/>
              </a:solidFill>
              <a:latin typeface="Times New Roman"/>
              <a:cs typeface="Times New Roman"/>
            </a:rPr>
            <a:t> of Quantity</a:t>
          </a:r>
          <a:br>
            <a:rPr lang="en-US" sz="2000" b="1" i="0" u="none" strike="noStrike" baseline="0">
              <a:solidFill>
                <a:srgbClr val="000000"/>
              </a:solidFill>
              <a:latin typeface="Times New Roman"/>
              <a:cs typeface="Times New Roman"/>
            </a:rPr>
          </a:br>
          <a:fld id="{195CC582-97FA-45D2-A783-190BADFE1965}" type="TxLink">
            <a:rPr lang="en-US" sz="2000" b="1" i="0" u="none" strike="noStrike">
              <a:solidFill>
                <a:srgbClr val="000000"/>
              </a:solidFill>
              <a:latin typeface="Times New Roman"/>
              <a:cs typeface="Times New Roman"/>
            </a:rPr>
            <a:pPr algn="ctr"/>
            <a:t>565</a:t>
          </a:fld>
          <a:endParaRPr lang="en-US" sz="2400" b="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552450</xdr:colOff>
      <xdr:row>0</xdr:row>
      <xdr:rowOff>44450</xdr:rowOff>
    </xdr:from>
    <xdr:to>
      <xdr:col>4</xdr:col>
      <xdr:colOff>12700</xdr:colOff>
      <xdr:row>2</xdr:row>
      <xdr:rowOff>44450</xdr:rowOff>
    </xdr:to>
    <xdr:sp macro="" textlink="">
      <xdr:nvSpPr>
        <xdr:cNvPr id="2" name="TextBox 1">
          <a:extLst>
            <a:ext uri="{FF2B5EF4-FFF2-40B4-BE49-F238E27FC236}">
              <a16:creationId xmlns:a16="http://schemas.microsoft.com/office/drawing/2014/main" id="{A4F07658-F692-400B-BA9E-4351FEF049A3}"/>
            </a:ext>
          </a:extLst>
        </xdr:cNvPr>
        <xdr:cNvSpPr txBox="1"/>
      </xdr:nvSpPr>
      <xdr:spPr>
        <a:xfrm>
          <a:off x="552450" y="44450"/>
          <a:ext cx="1898650" cy="368300"/>
        </a:xfrm>
        <a:prstGeom prst="rect">
          <a:avLst/>
        </a:prstGeom>
        <a:solidFill>
          <a:srgbClr val="C6D870"/>
        </a:solidFill>
        <a:ln w="9525" cmpd="sng">
          <a:solidFill>
            <a:srgbClr val="C6D87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355600</xdr:colOff>
      <xdr:row>3</xdr:row>
      <xdr:rowOff>107950</xdr:rowOff>
    </xdr:from>
    <xdr:to>
      <xdr:col>19</xdr:col>
      <xdr:colOff>139700</xdr:colOff>
      <xdr:row>29</xdr:row>
      <xdr:rowOff>88900</xdr:rowOff>
    </xdr:to>
    <xdr:sp macro="" textlink="">
      <xdr:nvSpPr>
        <xdr:cNvPr id="3" name="Rectangle 2">
          <a:extLst>
            <a:ext uri="{FF2B5EF4-FFF2-40B4-BE49-F238E27FC236}">
              <a16:creationId xmlns:a16="http://schemas.microsoft.com/office/drawing/2014/main" id="{6BD40D4A-B57E-45FD-B2F5-D0B90A0C0908}"/>
            </a:ext>
          </a:extLst>
        </xdr:cNvPr>
        <xdr:cNvSpPr/>
      </xdr:nvSpPr>
      <xdr:spPr>
        <a:xfrm>
          <a:off x="12015514" y="797691"/>
          <a:ext cx="2893410" cy="595870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349250</xdr:colOff>
      <xdr:row>0</xdr:row>
      <xdr:rowOff>0</xdr:rowOff>
    </xdr:from>
    <xdr:to>
      <xdr:col>19</xdr:col>
      <xdr:colOff>165100</xdr:colOff>
      <xdr:row>3</xdr:row>
      <xdr:rowOff>88150</xdr:rowOff>
    </xdr:to>
    <xdr:pic>
      <xdr:nvPicPr>
        <xdr:cNvPr id="4" name="Picture 3">
          <a:extLst>
            <a:ext uri="{FF2B5EF4-FFF2-40B4-BE49-F238E27FC236}">
              <a16:creationId xmlns:a16="http://schemas.microsoft.com/office/drawing/2014/main" id="{09E654F3-9B47-4218-9724-8656EFBB62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10300075" y="-806825"/>
          <a:ext cx="640600" cy="2254250"/>
        </a:xfrm>
        <a:prstGeom prst="rect">
          <a:avLst/>
        </a:prstGeom>
        <a:effectLst>
          <a:reflection blurRad="6350" stA="52000" endA="300" endPos="35000" dir="5400000" sy="-100000" algn="bl" rotWithShape="0"/>
        </a:effectLst>
      </xdr:spPr>
    </xdr:pic>
    <xdr:clientData/>
  </xdr:twoCellAnchor>
  <xdr:twoCellAnchor>
    <xdr:from>
      <xdr:col>16</xdr:col>
      <xdr:colOff>469900</xdr:colOff>
      <xdr:row>0</xdr:row>
      <xdr:rowOff>177800</xdr:rowOff>
    </xdr:from>
    <xdr:to>
      <xdr:col>18</xdr:col>
      <xdr:colOff>215900</xdr:colOff>
      <xdr:row>2</xdr:row>
      <xdr:rowOff>19050</xdr:rowOff>
    </xdr:to>
    <xdr:sp macro="" textlink="">
      <xdr:nvSpPr>
        <xdr:cNvPr id="5" name="TextBox 4">
          <a:extLst>
            <a:ext uri="{FF2B5EF4-FFF2-40B4-BE49-F238E27FC236}">
              <a16:creationId xmlns:a16="http://schemas.microsoft.com/office/drawing/2014/main" id="{9CB3878C-82A6-4FE9-B68D-E83DC4E7B701}"/>
            </a:ext>
          </a:extLst>
        </xdr:cNvPr>
        <xdr:cNvSpPr txBox="1"/>
      </xdr:nvSpPr>
      <xdr:spPr>
        <a:xfrm>
          <a:off x="10223500" y="177800"/>
          <a:ext cx="965200" cy="2095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outerShdw blurRad="38100" dist="19050" dir="2700000" algn="tl" rotWithShape="0">
                  <a:schemeClr val="dk1">
                    <a:alpha val="40000"/>
                  </a:schemeClr>
                </a:outerShdw>
              </a:effectLst>
              <a:latin typeface="+mn-lt"/>
              <a:ea typeface="+mn-ea"/>
              <a:cs typeface="+mn-cs"/>
            </a:rPr>
            <a:t>Nexus Tech</a:t>
          </a:r>
          <a:endParaRPr lang="en-US" sz="1200" b="1">
            <a:solidFill>
              <a:schemeClr val="bg1"/>
            </a:solidFill>
            <a:effectLst/>
          </a:endParaRPr>
        </a:p>
        <a:p>
          <a:endParaRPr lang="en-US" sz="1100">
            <a:solidFill>
              <a:schemeClr val="tx1"/>
            </a:solidFill>
          </a:endParaRPr>
        </a:p>
      </xdr:txBody>
    </xdr:sp>
    <xdr:clientData/>
  </xdr:twoCellAnchor>
  <xdr:twoCellAnchor editAs="oneCell">
    <xdr:from>
      <xdr:col>15</xdr:col>
      <xdr:colOff>425450</xdr:colOff>
      <xdr:row>4</xdr:row>
      <xdr:rowOff>101600</xdr:rowOff>
    </xdr:from>
    <xdr:to>
      <xdr:col>19</xdr:col>
      <xdr:colOff>69850</xdr:colOff>
      <xdr:row>9</xdr:row>
      <xdr:rowOff>127000</xdr:rowOff>
    </xdr:to>
    <mc:AlternateContent xmlns:mc="http://schemas.openxmlformats.org/markup-compatibility/2006" xmlns:a14="http://schemas.microsoft.com/office/drawing/2010/main">
      <mc:Choice Requires="a14">
        <xdr:graphicFrame macro="">
          <xdr:nvGraphicFramePr>
            <xdr:cNvPr id="6" name="Region 7">
              <a:extLst>
                <a:ext uri="{FF2B5EF4-FFF2-40B4-BE49-F238E27FC236}">
                  <a16:creationId xmlns:a16="http://schemas.microsoft.com/office/drawing/2014/main" id="{87012C08-0070-4B78-8D48-4E2F6214F981}"/>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mlns="">
        <xdr:sp macro="" textlink="">
          <xdr:nvSpPr>
            <xdr:cNvPr id="0" name=""/>
            <xdr:cNvSpPr>
              <a:spLocks noTextEdit="1"/>
            </xdr:cNvSpPr>
          </xdr:nvSpPr>
          <xdr:spPr>
            <a:xfrm>
              <a:off x="9569450" y="838200"/>
              <a:ext cx="2082800" cy="94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448597</xdr:colOff>
      <xdr:row>9</xdr:row>
      <xdr:rowOff>158750</xdr:rowOff>
    </xdr:from>
    <xdr:to>
      <xdr:col>19</xdr:col>
      <xdr:colOff>59403</xdr:colOff>
      <xdr:row>18</xdr:row>
      <xdr:rowOff>114300</xdr:rowOff>
    </xdr:to>
    <mc:AlternateContent xmlns:mc="http://schemas.openxmlformats.org/markup-compatibility/2006" xmlns:a14="http://schemas.microsoft.com/office/drawing/2010/main">
      <mc:Choice Requires="a14">
        <xdr:graphicFrame macro="">
          <xdr:nvGraphicFramePr>
            <xdr:cNvPr id="7" name="Sales Rep 7">
              <a:extLst>
                <a:ext uri="{FF2B5EF4-FFF2-40B4-BE49-F238E27FC236}">
                  <a16:creationId xmlns:a16="http://schemas.microsoft.com/office/drawing/2014/main" id="{3763F48B-8A7E-45A5-A172-7F5347882491}"/>
                </a:ext>
              </a:extLst>
            </xdr:cNvPr>
            <xdr:cNvGraphicFramePr/>
          </xdr:nvGraphicFramePr>
          <xdr:xfrm>
            <a:off x="0" y="0"/>
            <a:ext cx="0" cy="0"/>
          </xdr:xfrm>
          <a:graphic>
            <a:graphicData uri="http://schemas.microsoft.com/office/drawing/2010/slicer">
              <sle:slicer xmlns:sle="http://schemas.microsoft.com/office/drawing/2010/slicer" name="Sales Rep 7"/>
            </a:graphicData>
          </a:graphic>
        </xdr:graphicFrame>
      </mc:Choice>
      <mc:Fallback xmlns="">
        <xdr:sp macro="" textlink="">
          <xdr:nvSpPr>
            <xdr:cNvPr id="0" name=""/>
            <xdr:cNvSpPr>
              <a:spLocks noTextEdit="1"/>
            </xdr:cNvSpPr>
          </xdr:nvSpPr>
          <xdr:spPr>
            <a:xfrm>
              <a:off x="9592597" y="1816100"/>
              <a:ext cx="2049206" cy="1612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xdr:rowOff>
    </xdr:from>
    <xdr:to>
      <xdr:col>2</xdr:col>
      <xdr:colOff>342900</xdr:colOff>
      <xdr:row>29</xdr:row>
      <xdr:rowOff>133353</xdr:rowOff>
    </xdr:to>
    <xdr:sp macro="" textlink="">
      <xdr:nvSpPr>
        <xdr:cNvPr id="9" name="Rectangle: Single Corner Rounded 8">
          <a:extLst>
            <a:ext uri="{FF2B5EF4-FFF2-40B4-BE49-F238E27FC236}">
              <a16:creationId xmlns:a16="http://schemas.microsoft.com/office/drawing/2014/main" id="{C04B2DB3-5A14-4065-8BA2-7CB9ABABF395}"/>
            </a:ext>
          </a:extLst>
        </xdr:cNvPr>
        <xdr:cNvSpPr/>
      </xdr:nvSpPr>
      <xdr:spPr>
        <a:xfrm rot="5400000">
          <a:off x="-1955800" y="1955803"/>
          <a:ext cx="5473700" cy="1562100"/>
        </a:xfrm>
        <a:prstGeom prst="round1Rect">
          <a:avLst/>
        </a:prstGeom>
        <a:solidFill>
          <a:sysClr val="window" lastClr="FFFFFF"/>
        </a:solidFill>
        <a:ln>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0</xdr:colOff>
      <xdr:row>0</xdr:row>
      <xdr:rowOff>0</xdr:rowOff>
    </xdr:from>
    <xdr:to>
      <xdr:col>2</xdr:col>
      <xdr:colOff>273050</xdr:colOff>
      <xdr:row>28</xdr:row>
      <xdr:rowOff>63501</xdr:rowOff>
    </xdr:to>
    <xdr:sp macro="" textlink="">
      <xdr:nvSpPr>
        <xdr:cNvPr id="10" name="Rectangle: Single Corner Rounded 9">
          <a:extLst>
            <a:ext uri="{FF2B5EF4-FFF2-40B4-BE49-F238E27FC236}">
              <a16:creationId xmlns:a16="http://schemas.microsoft.com/office/drawing/2014/main" id="{8EECD578-5003-4460-A52A-6F62BCC827FD}"/>
            </a:ext>
          </a:extLst>
        </xdr:cNvPr>
        <xdr:cNvSpPr/>
      </xdr:nvSpPr>
      <xdr:spPr>
        <a:xfrm rot="5400000">
          <a:off x="-1863726" y="1863726"/>
          <a:ext cx="5219701" cy="1492250"/>
        </a:xfrm>
        <a:prstGeom prst="round1Rect">
          <a:avLst/>
        </a:prstGeom>
        <a:solidFill>
          <a:sysClr val="window" lastClr="FFFFFF"/>
        </a:solidFill>
        <a:ln>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editAs="oneCell">
    <xdr:from>
      <xdr:col>0</xdr:col>
      <xdr:colOff>190500</xdr:colOff>
      <xdr:row>0</xdr:row>
      <xdr:rowOff>12697</xdr:rowOff>
    </xdr:from>
    <xdr:to>
      <xdr:col>1</xdr:col>
      <xdr:colOff>577850</xdr:colOff>
      <xdr:row>4</xdr:row>
      <xdr:rowOff>101597</xdr:rowOff>
    </xdr:to>
    <xdr:pic>
      <xdr:nvPicPr>
        <xdr:cNvPr id="11" name="Picture 10">
          <a:hlinkClick xmlns:r="http://schemas.openxmlformats.org/officeDocument/2006/relationships" r:id="rId2"/>
          <a:extLst>
            <a:ext uri="{FF2B5EF4-FFF2-40B4-BE49-F238E27FC236}">
              <a16:creationId xmlns:a16="http://schemas.microsoft.com/office/drawing/2014/main" id="{7421ECED-A1F2-40A3-BFBB-8F052915AA5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90500" y="12697"/>
          <a:ext cx="996950" cy="825500"/>
        </a:xfrm>
        <a:prstGeom prst="rect">
          <a:avLst/>
        </a:prstGeom>
      </xdr:spPr>
    </xdr:pic>
    <xdr:clientData/>
  </xdr:twoCellAnchor>
  <xdr:twoCellAnchor>
    <xdr:from>
      <xdr:col>0</xdr:col>
      <xdr:colOff>44450</xdr:colOff>
      <xdr:row>16</xdr:row>
      <xdr:rowOff>133347</xdr:rowOff>
    </xdr:from>
    <xdr:to>
      <xdr:col>2</xdr:col>
      <xdr:colOff>196850</xdr:colOff>
      <xdr:row>20</xdr:row>
      <xdr:rowOff>36827</xdr:rowOff>
    </xdr:to>
    <xdr:sp macro="" textlink="">
      <xdr:nvSpPr>
        <xdr:cNvPr id="12" name="Arrow: Pentagon 11">
          <a:hlinkClick xmlns:r="http://schemas.openxmlformats.org/officeDocument/2006/relationships" r:id="rId4"/>
          <a:extLst>
            <a:ext uri="{FF2B5EF4-FFF2-40B4-BE49-F238E27FC236}">
              <a16:creationId xmlns:a16="http://schemas.microsoft.com/office/drawing/2014/main" id="{EB0FBA85-3123-4B68-8A4B-FEEF48024F19}"/>
            </a:ext>
          </a:extLst>
        </xdr:cNvPr>
        <xdr:cNvSpPr/>
      </xdr:nvSpPr>
      <xdr:spPr>
        <a:xfrm>
          <a:off x="44450" y="307974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Product</a:t>
          </a:r>
          <a:endParaRPr lang="en-US" sz="1100" b="1"/>
        </a:p>
      </xdr:txBody>
    </xdr:sp>
    <xdr:clientData/>
  </xdr:twoCellAnchor>
  <xdr:twoCellAnchor>
    <xdr:from>
      <xdr:col>0</xdr:col>
      <xdr:colOff>57150</xdr:colOff>
      <xdr:row>11</xdr:row>
      <xdr:rowOff>6347</xdr:rowOff>
    </xdr:from>
    <xdr:to>
      <xdr:col>2</xdr:col>
      <xdr:colOff>209550</xdr:colOff>
      <xdr:row>14</xdr:row>
      <xdr:rowOff>93977</xdr:rowOff>
    </xdr:to>
    <xdr:sp macro="" textlink="">
      <xdr:nvSpPr>
        <xdr:cNvPr id="13" name="Arrow: Pentagon 12">
          <a:hlinkClick xmlns:r="http://schemas.openxmlformats.org/officeDocument/2006/relationships" r:id="rId5"/>
          <a:extLst>
            <a:ext uri="{FF2B5EF4-FFF2-40B4-BE49-F238E27FC236}">
              <a16:creationId xmlns:a16="http://schemas.microsoft.com/office/drawing/2014/main" id="{E4A55DF6-96A2-4D3C-82C5-93C3BBA070B1}"/>
            </a:ext>
          </a:extLst>
        </xdr:cNvPr>
        <xdr:cNvSpPr/>
      </xdr:nvSpPr>
      <xdr:spPr>
        <a:xfrm>
          <a:off x="57150" y="203199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Sale - Rep</a:t>
          </a:r>
        </a:p>
      </xdr:txBody>
    </xdr:sp>
    <xdr:clientData/>
  </xdr:twoCellAnchor>
  <xdr:twoCellAnchor>
    <xdr:from>
      <xdr:col>0</xdr:col>
      <xdr:colOff>57150</xdr:colOff>
      <xdr:row>5</xdr:row>
      <xdr:rowOff>88897</xdr:rowOff>
    </xdr:from>
    <xdr:to>
      <xdr:col>2</xdr:col>
      <xdr:colOff>209550</xdr:colOff>
      <xdr:row>8</xdr:row>
      <xdr:rowOff>176527</xdr:rowOff>
    </xdr:to>
    <xdr:sp macro="" textlink="">
      <xdr:nvSpPr>
        <xdr:cNvPr id="14" name="Arrow: Pentagon 13">
          <a:hlinkClick xmlns:r="http://schemas.openxmlformats.org/officeDocument/2006/relationships" r:id="rId6"/>
          <a:extLst>
            <a:ext uri="{FF2B5EF4-FFF2-40B4-BE49-F238E27FC236}">
              <a16:creationId xmlns:a16="http://schemas.microsoft.com/office/drawing/2014/main" id="{CDFAABB6-D104-483F-AEDF-8FE53B4A8B69}"/>
            </a:ext>
          </a:extLst>
        </xdr:cNvPr>
        <xdr:cNvSpPr/>
      </xdr:nvSpPr>
      <xdr:spPr>
        <a:xfrm>
          <a:off x="57150" y="100964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solidFill>
                <a:schemeClr val="dk1"/>
              </a:solidFill>
              <a:latin typeface="+mn-lt"/>
              <a:ea typeface="+mn-ea"/>
              <a:cs typeface="+mn-cs"/>
            </a:rPr>
            <a:t>Region</a:t>
          </a:r>
          <a:endParaRPr lang="en-US" sz="2400" b="1">
            <a:solidFill>
              <a:schemeClr val="dk1"/>
            </a:solidFill>
            <a:latin typeface="+mn-lt"/>
            <a:ea typeface="+mn-ea"/>
            <a:cs typeface="+mn-cs"/>
          </a:endParaRPr>
        </a:p>
      </xdr:txBody>
    </xdr:sp>
    <xdr:clientData/>
  </xdr:twoCellAnchor>
  <xdr:twoCellAnchor editAs="oneCell">
    <xdr:from>
      <xdr:col>15</xdr:col>
      <xdr:colOff>514350</xdr:colOff>
      <xdr:row>25</xdr:row>
      <xdr:rowOff>88900</xdr:rowOff>
    </xdr:from>
    <xdr:to>
      <xdr:col>19</xdr:col>
      <xdr:colOff>82551</xdr:colOff>
      <xdr:row>29</xdr:row>
      <xdr:rowOff>50799</xdr:rowOff>
    </xdr:to>
    <mc:AlternateContent xmlns:mc="http://schemas.openxmlformats.org/markup-compatibility/2006" xmlns:a14="http://schemas.microsoft.com/office/drawing/2010/main">
      <mc:Choice Requires="a14">
        <xdr:graphicFrame macro="">
          <xdr:nvGraphicFramePr>
            <xdr:cNvPr id="16" name="Category 5">
              <a:extLst>
                <a:ext uri="{FF2B5EF4-FFF2-40B4-BE49-F238E27FC236}">
                  <a16:creationId xmlns:a16="http://schemas.microsoft.com/office/drawing/2014/main" id="{A21A3D1E-0E02-43A7-8FEA-50E660911C06}"/>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9658350" y="4692650"/>
              <a:ext cx="2006601" cy="698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22</xdr:row>
      <xdr:rowOff>101597</xdr:rowOff>
    </xdr:from>
    <xdr:to>
      <xdr:col>2</xdr:col>
      <xdr:colOff>190500</xdr:colOff>
      <xdr:row>26</xdr:row>
      <xdr:rowOff>5077</xdr:rowOff>
    </xdr:to>
    <xdr:sp macro="" textlink="">
      <xdr:nvSpPr>
        <xdr:cNvPr id="20" name="Arrow: Pentagon 19">
          <a:hlinkClick xmlns:r="http://schemas.openxmlformats.org/officeDocument/2006/relationships" r:id="rId7"/>
          <a:extLst>
            <a:ext uri="{FF2B5EF4-FFF2-40B4-BE49-F238E27FC236}">
              <a16:creationId xmlns:a16="http://schemas.microsoft.com/office/drawing/2014/main" id="{847DDC4A-E20B-4761-AAE4-DB1F59A8C1EC}"/>
            </a:ext>
          </a:extLst>
        </xdr:cNvPr>
        <xdr:cNvSpPr/>
      </xdr:nvSpPr>
      <xdr:spPr>
        <a:xfrm>
          <a:off x="38100" y="415289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Category</a:t>
          </a:r>
          <a:endParaRPr lang="en-US" sz="1100" b="1"/>
        </a:p>
      </xdr:txBody>
    </xdr:sp>
    <xdr:clientData/>
  </xdr:twoCellAnchor>
  <xdr:twoCellAnchor>
    <xdr:from>
      <xdr:col>2</xdr:col>
      <xdr:colOff>525517</xdr:colOff>
      <xdr:row>6</xdr:row>
      <xdr:rowOff>43792</xdr:rowOff>
    </xdr:from>
    <xdr:to>
      <xdr:col>15</xdr:col>
      <xdr:colOff>260579</xdr:colOff>
      <xdr:row>29</xdr:row>
      <xdr:rowOff>97032</xdr:rowOff>
    </xdr:to>
    <xdr:sp macro="" textlink="">
      <xdr:nvSpPr>
        <xdr:cNvPr id="21" name="Rectangle: Rounded Corners 20">
          <a:extLst>
            <a:ext uri="{FF2B5EF4-FFF2-40B4-BE49-F238E27FC236}">
              <a16:creationId xmlns:a16="http://schemas.microsoft.com/office/drawing/2014/main" id="{2902C575-39AC-4C20-9655-1EE3881171AE}"/>
            </a:ext>
          </a:extLst>
        </xdr:cNvPr>
        <xdr:cNvSpPr/>
      </xdr:nvSpPr>
      <xdr:spPr>
        <a:xfrm>
          <a:off x="2080172" y="1423275"/>
          <a:ext cx="9840321" cy="534125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98535</xdr:colOff>
      <xdr:row>20</xdr:row>
      <xdr:rowOff>131381</xdr:rowOff>
    </xdr:from>
    <xdr:to>
      <xdr:col>14</xdr:col>
      <xdr:colOff>691932</xdr:colOff>
      <xdr:row>28</xdr:row>
      <xdr:rowOff>108098</xdr:rowOff>
    </xdr:to>
    <xdr:graphicFrame macro="">
      <xdr:nvGraphicFramePr>
        <xdr:cNvPr id="25" name="Chart 24">
          <a:extLst>
            <a:ext uri="{FF2B5EF4-FFF2-40B4-BE49-F238E27FC236}">
              <a16:creationId xmlns:a16="http://schemas.microsoft.com/office/drawing/2014/main" id="{B52278CA-3D06-41C3-A41E-E36020DD4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536465</xdr:colOff>
      <xdr:row>17</xdr:row>
      <xdr:rowOff>102038</xdr:rowOff>
    </xdr:from>
    <xdr:to>
      <xdr:col>18</xdr:col>
      <xdr:colOff>755430</xdr:colOff>
      <xdr:row>23</xdr:row>
      <xdr:rowOff>68755</xdr:rowOff>
    </xdr:to>
    <mc:AlternateContent xmlns:mc="http://schemas.openxmlformats.org/markup-compatibility/2006" xmlns:tsle="http://schemas.microsoft.com/office/drawing/2012/timeslicer">
      <mc:Choice Requires="tsle">
        <xdr:graphicFrame macro="">
          <xdr:nvGraphicFramePr>
            <xdr:cNvPr id="27" name="Date">
              <a:extLst>
                <a:ext uri="{FF2B5EF4-FFF2-40B4-BE49-F238E27FC236}">
                  <a16:creationId xmlns:a16="http://schemas.microsoft.com/office/drawing/2014/main" id="{F3D9BBB8-9AA3-48B3-9A78-0C4E37D4C4E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196379" y="4010572"/>
              <a:ext cx="2550948" cy="13462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635000</xdr:colOff>
      <xdr:row>8</xdr:row>
      <xdr:rowOff>32844</xdr:rowOff>
    </xdr:from>
    <xdr:to>
      <xdr:col>15</xdr:col>
      <xdr:colOff>87586</xdr:colOff>
      <xdr:row>19</xdr:row>
      <xdr:rowOff>214147</xdr:rowOff>
    </xdr:to>
    <xdr:graphicFrame macro="">
      <xdr:nvGraphicFramePr>
        <xdr:cNvPr id="29" name="Chart 28">
          <a:extLst>
            <a:ext uri="{FF2B5EF4-FFF2-40B4-BE49-F238E27FC236}">
              <a16:creationId xmlns:a16="http://schemas.microsoft.com/office/drawing/2014/main" id="{E1F169A9-3D34-4B93-AD46-5B11E3B3E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383190</xdr:colOff>
      <xdr:row>0</xdr:row>
      <xdr:rowOff>87586</xdr:rowOff>
    </xdr:from>
    <xdr:to>
      <xdr:col>7</xdr:col>
      <xdr:colOff>278897</xdr:colOff>
      <xdr:row>5</xdr:row>
      <xdr:rowOff>171791</xdr:rowOff>
    </xdr:to>
    <xdr:sp macro="" textlink="Sheet2!D57">
      <xdr:nvSpPr>
        <xdr:cNvPr id="8" name="Rectangle: Rounded Corners 7">
          <a:extLst>
            <a:ext uri="{FF2B5EF4-FFF2-40B4-BE49-F238E27FC236}">
              <a16:creationId xmlns:a16="http://schemas.microsoft.com/office/drawing/2014/main" id="{2CD415E3-6448-4DDA-8DFA-FB07BC9B76C4}"/>
            </a:ext>
          </a:extLst>
        </xdr:cNvPr>
        <xdr:cNvSpPr/>
      </xdr:nvSpPr>
      <xdr:spPr>
        <a:xfrm>
          <a:off x="3492500" y="87586"/>
          <a:ext cx="2227690" cy="12337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Times New Roman"/>
              <a:cs typeface="Times New Roman"/>
            </a:rPr>
            <a:t> Total</a:t>
          </a:r>
          <a:r>
            <a:rPr lang="en-US" sz="2000" b="1" i="0" u="none" strike="noStrike" baseline="0">
              <a:solidFill>
                <a:srgbClr val="000000"/>
              </a:solidFill>
              <a:latin typeface="Times New Roman"/>
              <a:cs typeface="Times New Roman"/>
            </a:rPr>
            <a:t> sales </a:t>
          </a:r>
          <a:br>
            <a:rPr lang="en-US" sz="2000" b="1" i="0" u="none" strike="noStrike" baseline="0">
              <a:solidFill>
                <a:srgbClr val="000000"/>
              </a:solidFill>
              <a:latin typeface="Times New Roman"/>
              <a:cs typeface="Times New Roman"/>
            </a:rPr>
          </a:br>
          <a:r>
            <a:rPr lang="en-US" sz="2000" b="1" i="0" u="none" strike="noStrike" baseline="0">
              <a:solidFill>
                <a:srgbClr val="000000"/>
              </a:solidFill>
              <a:latin typeface="Times New Roman"/>
              <a:cs typeface="Times New Roman"/>
            </a:rPr>
            <a:t> $ </a:t>
          </a:r>
          <a:fld id="{232A7C9C-D3DD-4C93-9C9F-21AF21C33783}" type="TxLink">
            <a:rPr lang="en-US" sz="2000" b="1" i="0" u="none" strike="noStrike">
              <a:solidFill>
                <a:srgbClr val="000000"/>
              </a:solidFill>
              <a:latin typeface="Times New Roman"/>
              <a:cs typeface="Times New Roman"/>
            </a:rPr>
            <a:pPr algn="ctr"/>
            <a:t>252.2K</a:t>
          </a:fld>
          <a:endParaRPr lang="en-US" sz="1600"/>
        </a:p>
      </xdr:txBody>
    </xdr:sp>
    <xdr:clientData/>
  </xdr:twoCellAnchor>
  <xdr:twoCellAnchor>
    <xdr:from>
      <xdr:col>10</xdr:col>
      <xdr:colOff>131380</xdr:colOff>
      <xdr:row>0</xdr:row>
      <xdr:rowOff>109482</xdr:rowOff>
    </xdr:from>
    <xdr:to>
      <xdr:col>13</xdr:col>
      <xdr:colOff>27088</xdr:colOff>
      <xdr:row>5</xdr:row>
      <xdr:rowOff>193687</xdr:rowOff>
    </xdr:to>
    <xdr:sp macro="" textlink="Sheet2!D63">
      <xdr:nvSpPr>
        <xdr:cNvPr id="22" name="Rectangle: Rounded Corners 21">
          <a:extLst>
            <a:ext uri="{FF2B5EF4-FFF2-40B4-BE49-F238E27FC236}">
              <a16:creationId xmlns:a16="http://schemas.microsoft.com/office/drawing/2014/main" id="{3247C84D-C2FB-48DF-831F-B1B63317DC55}"/>
            </a:ext>
          </a:extLst>
        </xdr:cNvPr>
        <xdr:cNvSpPr/>
      </xdr:nvSpPr>
      <xdr:spPr>
        <a:xfrm>
          <a:off x="7904656" y="109482"/>
          <a:ext cx="2227691" cy="12337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Times New Roman"/>
              <a:cs typeface="Times New Roman"/>
            </a:rPr>
            <a:t>Sum</a:t>
          </a:r>
          <a:r>
            <a:rPr lang="en-US" sz="2000" b="1" i="0" u="none" strike="noStrike" baseline="0">
              <a:solidFill>
                <a:srgbClr val="000000"/>
              </a:solidFill>
              <a:latin typeface="Times New Roman"/>
              <a:cs typeface="Times New Roman"/>
            </a:rPr>
            <a:t> of Quantity</a:t>
          </a:r>
          <a:br>
            <a:rPr lang="en-US" sz="2000" b="1" i="0" u="none" strike="noStrike" baseline="0">
              <a:solidFill>
                <a:srgbClr val="000000"/>
              </a:solidFill>
              <a:latin typeface="Times New Roman"/>
              <a:cs typeface="Times New Roman"/>
            </a:rPr>
          </a:br>
          <a:fld id="{195CC582-97FA-45D2-A783-190BADFE1965}" type="TxLink">
            <a:rPr lang="en-US" sz="2000" b="1" i="0" u="none" strike="noStrike">
              <a:solidFill>
                <a:srgbClr val="000000"/>
              </a:solidFill>
              <a:latin typeface="Times New Roman"/>
              <a:cs typeface="Times New Roman"/>
            </a:rPr>
            <a:pPr algn="ctr"/>
            <a:t>565</a:t>
          </a:fld>
          <a:endParaRPr lang="en-US" sz="2400" b="1">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552450</xdr:colOff>
      <xdr:row>0</xdr:row>
      <xdr:rowOff>44450</xdr:rowOff>
    </xdr:from>
    <xdr:to>
      <xdr:col>4</xdr:col>
      <xdr:colOff>12700</xdr:colOff>
      <xdr:row>2</xdr:row>
      <xdr:rowOff>44450</xdr:rowOff>
    </xdr:to>
    <xdr:sp macro="" textlink="">
      <xdr:nvSpPr>
        <xdr:cNvPr id="2" name="TextBox 1">
          <a:extLst>
            <a:ext uri="{FF2B5EF4-FFF2-40B4-BE49-F238E27FC236}">
              <a16:creationId xmlns:a16="http://schemas.microsoft.com/office/drawing/2014/main" id="{0EEAF3D2-9351-4AD5-9E9C-682D2FC3F0E0}"/>
            </a:ext>
          </a:extLst>
        </xdr:cNvPr>
        <xdr:cNvSpPr txBox="1"/>
      </xdr:nvSpPr>
      <xdr:spPr>
        <a:xfrm>
          <a:off x="552450" y="44450"/>
          <a:ext cx="1898650" cy="368300"/>
        </a:xfrm>
        <a:prstGeom prst="rect">
          <a:avLst/>
        </a:prstGeom>
        <a:solidFill>
          <a:srgbClr val="C6D870"/>
        </a:solidFill>
        <a:ln w="9525" cmpd="sng">
          <a:solidFill>
            <a:srgbClr val="C6D87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355600</xdr:colOff>
      <xdr:row>3</xdr:row>
      <xdr:rowOff>107950</xdr:rowOff>
    </xdr:from>
    <xdr:to>
      <xdr:col>19</xdr:col>
      <xdr:colOff>139700</xdr:colOff>
      <xdr:row>29</xdr:row>
      <xdr:rowOff>88900</xdr:rowOff>
    </xdr:to>
    <xdr:sp macro="" textlink="">
      <xdr:nvSpPr>
        <xdr:cNvPr id="3" name="Rectangle 2">
          <a:extLst>
            <a:ext uri="{FF2B5EF4-FFF2-40B4-BE49-F238E27FC236}">
              <a16:creationId xmlns:a16="http://schemas.microsoft.com/office/drawing/2014/main" id="{8CEFC56D-9E08-4418-A143-F839C2BDCE5F}"/>
            </a:ext>
          </a:extLst>
        </xdr:cNvPr>
        <xdr:cNvSpPr/>
      </xdr:nvSpPr>
      <xdr:spPr>
        <a:xfrm>
          <a:off x="9499600" y="660400"/>
          <a:ext cx="2222500" cy="476885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349250</xdr:colOff>
      <xdr:row>0</xdr:row>
      <xdr:rowOff>0</xdr:rowOff>
    </xdr:from>
    <xdr:to>
      <xdr:col>19</xdr:col>
      <xdr:colOff>165100</xdr:colOff>
      <xdr:row>3</xdr:row>
      <xdr:rowOff>88150</xdr:rowOff>
    </xdr:to>
    <xdr:pic>
      <xdr:nvPicPr>
        <xdr:cNvPr id="4" name="Picture 3">
          <a:extLst>
            <a:ext uri="{FF2B5EF4-FFF2-40B4-BE49-F238E27FC236}">
              <a16:creationId xmlns:a16="http://schemas.microsoft.com/office/drawing/2014/main" id="{669E9DAE-7E13-49C8-BE1C-08E4182740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6200000">
          <a:off x="10300075" y="-806825"/>
          <a:ext cx="640600" cy="2254250"/>
        </a:xfrm>
        <a:prstGeom prst="rect">
          <a:avLst/>
        </a:prstGeom>
        <a:effectLst>
          <a:reflection blurRad="6350" stA="52000" endA="300" endPos="35000" dir="5400000" sy="-100000" algn="bl" rotWithShape="0"/>
        </a:effectLst>
      </xdr:spPr>
    </xdr:pic>
    <xdr:clientData/>
  </xdr:twoCellAnchor>
  <xdr:twoCellAnchor>
    <xdr:from>
      <xdr:col>16</xdr:col>
      <xdr:colOff>469900</xdr:colOff>
      <xdr:row>0</xdr:row>
      <xdr:rowOff>177800</xdr:rowOff>
    </xdr:from>
    <xdr:to>
      <xdr:col>18</xdr:col>
      <xdr:colOff>215900</xdr:colOff>
      <xdr:row>2</xdr:row>
      <xdr:rowOff>19050</xdr:rowOff>
    </xdr:to>
    <xdr:sp macro="" textlink="">
      <xdr:nvSpPr>
        <xdr:cNvPr id="5" name="TextBox 4">
          <a:extLst>
            <a:ext uri="{FF2B5EF4-FFF2-40B4-BE49-F238E27FC236}">
              <a16:creationId xmlns:a16="http://schemas.microsoft.com/office/drawing/2014/main" id="{7B23798A-808E-421B-A422-7E182EEFA6A0}"/>
            </a:ext>
          </a:extLst>
        </xdr:cNvPr>
        <xdr:cNvSpPr txBox="1"/>
      </xdr:nvSpPr>
      <xdr:spPr>
        <a:xfrm>
          <a:off x="10223500" y="177800"/>
          <a:ext cx="965200" cy="2095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outerShdw blurRad="38100" dist="19050" dir="2700000" algn="tl" rotWithShape="0">
                  <a:schemeClr val="dk1">
                    <a:alpha val="40000"/>
                  </a:schemeClr>
                </a:outerShdw>
              </a:effectLst>
              <a:latin typeface="+mn-lt"/>
              <a:ea typeface="+mn-ea"/>
              <a:cs typeface="+mn-cs"/>
            </a:rPr>
            <a:t>Nexus Tech</a:t>
          </a:r>
          <a:endParaRPr lang="en-US" sz="1200" b="1">
            <a:solidFill>
              <a:schemeClr val="bg1"/>
            </a:solidFill>
            <a:effectLst/>
          </a:endParaRPr>
        </a:p>
        <a:p>
          <a:endParaRPr lang="en-US" sz="1100">
            <a:solidFill>
              <a:schemeClr val="tx1"/>
            </a:solidFill>
          </a:endParaRPr>
        </a:p>
      </xdr:txBody>
    </xdr:sp>
    <xdr:clientData/>
  </xdr:twoCellAnchor>
  <xdr:twoCellAnchor editAs="oneCell">
    <xdr:from>
      <xdr:col>15</xdr:col>
      <xdr:colOff>406400</xdr:colOff>
      <xdr:row>4</xdr:row>
      <xdr:rowOff>133350</xdr:rowOff>
    </xdr:from>
    <xdr:to>
      <xdr:col>19</xdr:col>
      <xdr:colOff>69850</xdr:colOff>
      <xdr:row>9</xdr:row>
      <xdr:rowOff>158750</xdr:rowOff>
    </xdr:to>
    <mc:AlternateContent xmlns:mc="http://schemas.openxmlformats.org/markup-compatibility/2006" xmlns:a14="http://schemas.microsoft.com/office/drawing/2010/main">
      <mc:Choice Requires="a14">
        <xdr:graphicFrame macro="">
          <xdr:nvGraphicFramePr>
            <xdr:cNvPr id="6" name="Region 4">
              <a:extLst>
                <a:ext uri="{FF2B5EF4-FFF2-40B4-BE49-F238E27FC236}">
                  <a16:creationId xmlns:a16="http://schemas.microsoft.com/office/drawing/2014/main" id="{51E60A2A-D4B3-4542-A51E-B7EC3D2B9536}"/>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2026900" y="1047750"/>
              <a:ext cx="2762250" cy="116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406400</xdr:colOff>
      <xdr:row>9</xdr:row>
      <xdr:rowOff>158750</xdr:rowOff>
    </xdr:from>
    <xdr:to>
      <xdr:col>19</xdr:col>
      <xdr:colOff>59403</xdr:colOff>
      <xdr:row>18</xdr:row>
      <xdr:rowOff>114300</xdr:rowOff>
    </xdr:to>
    <mc:AlternateContent xmlns:mc="http://schemas.openxmlformats.org/markup-compatibility/2006" xmlns:a14="http://schemas.microsoft.com/office/drawing/2010/main">
      <mc:Choice Requires="a14">
        <xdr:graphicFrame macro="">
          <xdr:nvGraphicFramePr>
            <xdr:cNvPr id="7" name="Sales Rep 4">
              <a:extLst>
                <a:ext uri="{FF2B5EF4-FFF2-40B4-BE49-F238E27FC236}">
                  <a16:creationId xmlns:a16="http://schemas.microsoft.com/office/drawing/2014/main" id="{521E1603-1E02-47A8-A398-B48397CEFB44}"/>
                </a:ext>
              </a:extLst>
            </xdr:cNvPr>
            <xdr:cNvGraphicFramePr/>
          </xdr:nvGraphicFramePr>
          <xdr:xfrm>
            <a:off x="0" y="0"/>
            <a:ext cx="0" cy="0"/>
          </xdr:xfrm>
          <a:graphic>
            <a:graphicData uri="http://schemas.microsoft.com/office/drawing/2010/slicer">
              <sle:slicer xmlns:sle="http://schemas.microsoft.com/office/drawing/2010/slicer" name="Sales Rep 4"/>
            </a:graphicData>
          </a:graphic>
        </xdr:graphicFrame>
      </mc:Choice>
      <mc:Fallback xmlns="">
        <xdr:sp macro="" textlink="">
          <xdr:nvSpPr>
            <xdr:cNvPr id="0" name=""/>
            <xdr:cNvSpPr>
              <a:spLocks noTextEdit="1"/>
            </xdr:cNvSpPr>
          </xdr:nvSpPr>
          <xdr:spPr>
            <a:xfrm>
              <a:off x="9592597" y="1816100"/>
              <a:ext cx="2049206" cy="1612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458839</xdr:colOff>
      <xdr:row>17</xdr:row>
      <xdr:rowOff>155064</xdr:rowOff>
    </xdr:from>
    <xdr:to>
      <xdr:col>19</xdr:col>
      <xdr:colOff>69647</xdr:colOff>
      <xdr:row>25</xdr:row>
      <xdr:rowOff>158750</xdr:rowOff>
    </xdr:to>
    <mc:AlternateContent xmlns:mc="http://schemas.openxmlformats.org/markup-compatibility/2006" xmlns:a14="http://schemas.microsoft.com/office/drawing/2010/main">
      <mc:Choice Requires="a14">
        <xdr:graphicFrame macro="">
          <xdr:nvGraphicFramePr>
            <xdr:cNvPr id="8" name="Product 4">
              <a:extLst>
                <a:ext uri="{FF2B5EF4-FFF2-40B4-BE49-F238E27FC236}">
                  <a16:creationId xmlns:a16="http://schemas.microsoft.com/office/drawing/2014/main" id="{067E163A-7B71-41FD-A077-C6AEDB23C3C2}"/>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9602839" y="3285614"/>
              <a:ext cx="2049208" cy="14768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xdr:rowOff>
    </xdr:from>
    <xdr:to>
      <xdr:col>2</xdr:col>
      <xdr:colOff>342900</xdr:colOff>
      <xdr:row>29</xdr:row>
      <xdr:rowOff>133353</xdr:rowOff>
    </xdr:to>
    <xdr:sp macro="" textlink="">
      <xdr:nvSpPr>
        <xdr:cNvPr id="9" name="Rectangle: Single Corner Rounded 8">
          <a:extLst>
            <a:ext uri="{FF2B5EF4-FFF2-40B4-BE49-F238E27FC236}">
              <a16:creationId xmlns:a16="http://schemas.microsoft.com/office/drawing/2014/main" id="{91A38FFB-747B-4908-BA59-8F24140288FE}"/>
            </a:ext>
          </a:extLst>
        </xdr:cNvPr>
        <xdr:cNvSpPr/>
      </xdr:nvSpPr>
      <xdr:spPr>
        <a:xfrm rot="5400000">
          <a:off x="-1955800" y="1955803"/>
          <a:ext cx="5473700" cy="1562100"/>
        </a:xfrm>
        <a:prstGeom prst="round1Rect">
          <a:avLst/>
        </a:prstGeom>
        <a:solidFill>
          <a:sysClr val="window" lastClr="FFFFFF"/>
        </a:solidFill>
        <a:ln>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0</xdr:colOff>
      <xdr:row>0</xdr:row>
      <xdr:rowOff>0</xdr:rowOff>
    </xdr:from>
    <xdr:to>
      <xdr:col>2</xdr:col>
      <xdr:colOff>273050</xdr:colOff>
      <xdr:row>28</xdr:row>
      <xdr:rowOff>63501</xdr:rowOff>
    </xdr:to>
    <xdr:sp macro="" textlink="">
      <xdr:nvSpPr>
        <xdr:cNvPr id="10" name="Rectangle: Single Corner Rounded 9">
          <a:extLst>
            <a:ext uri="{FF2B5EF4-FFF2-40B4-BE49-F238E27FC236}">
              <a16:creationId xmlns:a16="http://schemas.microsoft.com/office/drawing/2014/main" id="{0B63689B-8888-46D0-9E79-D56298030389}"/>
            </a:ext>
          </a:extLst>
        </xdr:cNvPr>
        <xdr:cNvSpPr/>
      </xdr:nvSpPr>
      <xdr:spPr>
        <a:xfrm rot="5400000">
          <a:off x="-1863726" y="1863726"/>
          <a:ext cx="5219701" cy="1492250"/>
        </a:xfrm>
        <a:prstGeom prst="round1Rect">
          <a:avLst/>
        </a:prstGeom>
        <a:solidFill>
          <a:sysClr val="window" lastClr="FFFFFF"/>
        </a:solidFill>
        <a:ln>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editAs="oneCell">
    <xdr:from>
      <xdr:col>0</xdr:col>
      <xdr:colOff>190500</xdr:colOff>
      <xdr:row>0</xdr:row>
      <xdr:rowOff>12697</xdr:rowOff>
    </xdr:from>
    <xdr:to>
      <xdr:col>1</xdr:col>
      <xdr:colOff>577850</xdr:colOff>
      <xdr:row>4</xdr:row>
      <xdr:rowOff>101597</xdr:rowOff>
    </xdr:to>
    <xdr:pic>
      <xdr:nvPicPr>
        <xdr:cNvPr id="11" name="Picture 10">
          <a:hlinkClick xmlns:r="http://schemas.openxmlformats.org/officeDocument/2006/relationships" r:id="rId2"/>
          <a:extLst>
            <a:ext uri="{FF2B5EF4-FFF2-40B4-BE49-F238E27FC236}">
              <a16:creationId xmlns:a16="http://schemas.microsoft.com/office/drawing/2014/main" id="{C84FD233-857D-40BC-941E-FF4CCFE2244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90500" y="12697"/>
          <a:ext cx="996950" cy="825500"/>
        </a:xfrm>
        <a:prstGeom prst="rect">
          <a:avLst/>
        </a:prstGeom>
      </xdr:spPr>
    </xdr:pic>
    <xdr:clientData/>
  </xdr:twoCellAnchor>
  <xdr:twoCellAnchor>
    <xdr:from>
      <xdr:col>0</xdr:col>
      <xdr:colOff>44450</xdr:colOff>
      <xdr:row>16</xdr:row>
      <xdr:rowOff>133347</xdr:rowOff>
    </xdr:from>
    <xdr:to>
      <xdr:col>2</xdr:col>
      <xdr:colOff>196850</xdr:colOff>
      <xdr:row>20</xdr:row>
      <xdr:rowOff>36827</xdr:rowOff>
    </xdr:to>
    <xdr:sp macro="" textlink="">
      <xdr:nvSpPr>
        <xdr:cNvPr id="12" name="Arrow: Pentagon 11">
          <a:hlinkClick xmlns:r="http://schemas.openxmlformats.org/officeDocument/2006/relationships" r:id="rId4"/>
          <a:extLst>
            <a:ext uri="{FF2B5EF4-FFF2-40B4-BE49-F238E27FC236}">
              <a16:creationId xmlns:a16="http://schemas.microsoft.com/office/drawing/2014/main" id="{8483BECB-0A7B-498B-A84E-864202CC29B1}"/>
            </a:ext>
          </a:extLst>
        </xdr:cNvPr>
        <xdr:cNvSpPr/>
      </xdr:nvSpPr>
      <xdr:spPr>
        <a:xfrm>
          <a:off x="44450" y="307974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Product</a:t>
          </a:r>
          <a:endParaRPr lang="en-US" sz="1100" b="1"/>
        </a:p>
      </xdr:txBody>
    </xdr:sp>
    <xdr:clientData/>
  </xdr:twoCellAnchor>
  <xdr:twoCellAnchor>
    <xdr:from>
      <xdr:col>0</xdr:col>
      <xdr:colOff>57150</xdr:colOff>
      <xdr:row>11</xdr:row>
      <xdr:rowOff>6347</xdr:rowOff>
    </xdr:from>
    <xdr:to>
      <xdr:col>2</xdr:col>
      <xdr:colOff>209550</xdr:colOff>
      <xdr:row>14</xdr:row>
      <xdr:rowOff>93977</xdr:rowOff>
    </xdr:to>
    <xdr:sp macro="" textlink="">
      <xdr:nvSpPr>
        <xdr:cNvPr id="13" name="Arrow: Pentagon 12">
          <a:hlinkClick xmlns:r="http://schemas.openxmlformats.org/officeDocument/2006/relationships" r:id="rId5"/>
          <a:extLst>
            <a:ext uri="{FF2B5EF4-FFF2-40B4-BE49-F238E27FC236}">
              <a16:creationId xmlns:a16="http://schemas.microsoft.com/office/drawing/2014/main" id="{AFC95B26-9346-4A49-A365-8C16BE8F221F}"/>
            </a:ext>
          </a:extLst>
        </xdr:cNvPr>
        <xdr:cNvSpPr/>
      </xdr:nvSpPr>
      <xdr:spPr>
        <a:xfrm>
          <a:off x="57150" y="203199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Sale - Rep</a:t>
          </a:r>
        </a:p>
      </xdr:txBody>
    </xdr:sp>
    <xdr:clientData/>
  </xdr:twoCellAnchor>
  <xdr:twoCellAnchor>
    <xdr:from>
      <xdr:col>0</xdr:col>
      <xdr:colOff>57150</xdr:colOff>
      <xdr:row>5</xdr:row>
      <xdr:rowOff>88897</xdr:rowOff>
    </xdr:from>
    <xdr:to>
      <xdr:col>2</xdr:col>
      <xdr:colOff>209550</xdr:colOff>
      <xdr:row>8</xdr:row>
      <xdr:rowOff>176527</xdr:rowOff>
    </xdr:to>
    <xdr:sp macro="" textlink="">
      <xdr:nvSpPr>
        <xdr:cNvPr id="14" name="Arrow: Pentagon 13">
          <a:hlinkClick xmlns:r="http://schemas.openxmlformats.org/officeDocument/2006/relationships" r:id="rId6"/>
          <a:extLst>
            <a:ext uri="{FF2B5EF4-FFF2-40B4-BE49-F238E27FC236}">
              <a16:creationId xmlns:a16="http://schemas.microsoft.com/office/drawing/2014/main" id="{EFD3D187-6591-4A2B-9296-71BDF63A6800}"/>
            </a:ext>
          </a:extLst>
        </xdr:cNvPr>
        <xdr:cNvSpPr/>
      </xdr:nvSpPr>
      <xdr:spPr>
        <a:xfrm>
          <a:off x="57150" y="100964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solidFill>
                <a:schemeClr val="dk1"/>
              </a:solidFill>
              <a:latin typeface="+mn-lt"/>
              <a:ea typeface="+mn-ea"/>
              <a:cs typeface="+mn-cs"/>
            </a:rPr>
            <a:t>Region</a:t>
          </a:r>
          <a:endParaRPr lang="en-US" sz="2400" b="1">
            <a:solidFill>
              <a:schemeClr val="dk1"/>
            </a:solidFill>
            <a:latin typeface="+mn-lt"/>
            <a:ea typeface="+mn-ea"/>
            <a:cs typeface="+mn-cs"/>
          </a:endParaRPr>
        </a:p>
      </xdr:txBody>
    </xdr:sp>
    <xdr:clientData/>
  </xdr:twoCellAnchor>
  <xdr:twoCellAnchor editAs="oneCell">
    <xdr:from>
      <xdr:col>15</xdr:col>
      <xdr:colOff>514350</xdr:colOff>
      <xdr:row>25</xdr:row>
      <xdr:rowOff>88900</xdr:rowOff>
    </xdr:from>
    <xdr:to>
      <xdr:col>19</xdr:col>
      <xdr:colOff>82551</xdr:colOff>
      <xdr:row>29</xdr:row>
      <xdr:rowOff>50799</xdr:rowOff>
    </xdr:to>
    <mc:AlternateContent xmlns:mc="http://schemas.openxmlformats.org/markup-compatibility/2006" xmlns:a14="http://schemas.microsoft.com/office/drawing/2010/main">
      <mc:Choice Requires="a14">
        <xdr:graphicFrame macro="">
          <xdr:nvGraphicFramePr>
            <xdr:cNvPr id="16" name="Category 2">
              <a:extLst>
                <a:ext uri="{FF2B5EF4-FFF2-40B4-BE49-F238E27FC236}">
                  <a16:creationId xmlns:a16="http://schemas.microsoft.com/office/drawing/2014/main" id="{692EC565-46B9-423E-9CA5-E16E28A41D1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658350" y="4692650"/>
              <a:ext cx="2006601" cy="698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22</xdr:row>
      <xdr:rowOff>101597</xdr:rowOff>
    </xdr:from>
    <xdr:to>
      <xdr:col>2</xdr:col>
      <xdr:colOff>190500</xdr:colOff>
      <xdr:row>26</xdr:row>
      <xdr:rowOff>5077</xdr:rowOff>
    </xdr:to>
    <xdr:sp macro="" textlink="">
      <xdr:nvSpPr>
        <xdr:cNvPr id="20" name="Arrow: Pentagon 19">
          <a:hlinkClick xmlns:r="http://schemas.openxmlformats.org/officeDocument/2006/relationships" r:id="rId4"/>
          <a:extLst>
            <a:ext uri="{FF2B5EF4-FFF2-40B4-BE49-F238E27FC236}">
              <a16:creationId xmlns:a16="http://schemas.microsoft.com/office/drawing/2014/main" id="{746A52AD-C53D-42D8-87BC-D2959DB831EA}"/>
            </a:ext>
          </a:extLst>
        </xdr:cNvPr>
        <xdr:cNvSpPr/>
      </xdr:nvSpPr>
      <xdr:spPr>
        <a:xfrm>
          <a:off x="38100" y="4152897"/>
          <a:ext cx="1371600" cy="640080"/>
        </a:xfrm>
        <a:prstGeom prst="homePlate">
          <a:avLst/>
        </a:prstGeom>
        <a:scene3d>
          <a:camera prst="orthographicFront"/>
          <a:lightRig rig="threePt" dir="t"/>
        </a:scene3d>
        <a:sp3d>
          <a:bevelT/>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t>Category</a:t>
          </a:r>
          <a:endParaRPr lang="en-US" sz="1100" b="1"/>
        </a:p>
      </xdr:txBody>
    </xdr:sp>
    <xdr:clientData/>
  </xdr:twoCellAnchor>
  <xdr:twoCellAnchor>
    <xdr:from>
      <xdr:col>2</xdr:col>
      <xdr:colOff>390073</xdr:colOff>
      <xdr:row>5</xdr:row>
      <xdr:rowOff>208644</xdr:rowOff>
    </xdr:from>
    <xdr:to>
      <xdr:col>15</xdr:col>
      <xdr:colOff>206466</xdr:colOff>
      <xdr:row>29</xdr:row>
      <xdr:rowOff>107043</xdr:rowOff>
    </xdr:to>
    <xdr:sp macro="" textlink="">
      <xdr:nvSpPr>
        <xdr:cNvPr id="21" name="Rectangle: Rounded Corners 20">
          <a:extLst>
            <a:ext uri="{FF2B5EF4-FFF2-40B4-BE49-F238E27FC236}">
              <a16:creationId xmlns:a16="http://schemas.microsoft.com/office/drawing/2014/main" id="{6D63E0EE-7780-46FF-9314-B4D82EDBA5CB}"/>
            </a:ext>
          </a:extLst>
        </xdr:cNvPr>
        <xdr:cNvSpPr/>
      </xdr:nvSpPr>
      <xdr:spPr>
        <a:xfrm>
          <a:off x="1937164" y="1363189"/>
          <a:ext cx="9872484" cy="544021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620980</xdr:colOff>
      <xdr:row>8</xdr:row>
      <xdr:rowOff>208645</xdr:rowOff>
    </xdr:from>
    <xdr:to>
      <xdr:col>7</xdr:col>
      <xdr:colOff>750454</xdr:colOff>
      <xdr:row>26</xdr:row>
      <xdr:rowOff>126999</xdr:rowOff>
    </xdr:to>
    <xdr:graphicFrame macro="">
      <xdr:nvGraphicFramePr>
        <xdr:cNvPr id="22" name="Chart 21">
          <a:extLst>
            <a:ext uri="{FF2B5EF4-FFF2-40B4-BE49-F238E27FC236}">
              <a16:creationId xmlns:a16="http://schemas.microsoft.com/office/drawing/2014/main" id="{643F44D4-A8DE-4411-9E91-FDAABD787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495299</xdr:colOff>
      <xdr:row>7</xdr:row>
      <xdr:rowOff>138545</xdr:rowOff>
    </xdr:from>
    <xdr:to>
      <xdr:col>14</xdr:col>
      <xdr:colOff>426027</xdr:colOff>
      <xdr:row>28</xdr:row>
      <xdr:rowOff>92363</xdr:rowOff>
    </xdr:to>
    <xdr:graphicFrame macro="">
      <xdr:nvGraphicFramePr>
        <xdr:cNvPr id="23" name="Chart 22">
          <a:extLst>
            <a:ext uri="{FF2B5EF4-FFF2-40B4-BE49-F238E27FC236}">
              <a16:creationId xmlns:a16="http://schemas.microsoft.com/office/drawing/2014/main" id="{5F648E0A-0B0E-4A1C-B227-D0B6BA51B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138545</xdr:colOff>
      <xdr:row>0</xdr:row>
      <xdr:rowOff>34636</xdr:rowOff>
    </xdr:from>
    <xdr:to>
      <xdr:col>7</xdr:col>
      <xdr:colOff>45599</xdr:colOff>
      <xdr:row>5</xdr:row>
      <xdr:rowOff>113865</xdr:rowOff>
    </xdr:to>
    <xdr:sp macro="" textlink="Sheet2!D57">
      <xdr:nvSpPr>
        <xdr:cNvPr id="24" name="Rectangle: Rounded Corners 23">
          <a:extLst>
            <a:ext uri="{FF2B5EF4-FFF2-40B4-BE49-F238E27FC236}">
              <a16:creationId xmlns:a16="http://schemas.microsoft.com/office/drawing/2014/main" id="{303E35EE-2986-40C9-804B-AE4FA3FB5BEE}"/>
            </a:ext>
          </a:extLst>
        </xdr:cNvPr>
        <xdr:cNvSpPr/>
      </xdr:nvSpPr>
      <xdr:spPr>
        <a:xfrm>
          <a:off x="3232727" y="34636"/>
          <a:ext cx="2227690" cy="12337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Times New Roman"/>
              <a:cs typeface="Times New Roman"/>
            </a:rPr>
            <a:t> Total</a:t>
          </a:r>
          <a:r>
            <a:rPr lang="en-US" sz="2000" b="1" i="0" u="none" strike="noStrike" baseline="0">
              <a:solidFill>
                <a:srgbClr val="000000"/>
              </a:solidFill>
              <a:latin typeface="Times New Roman"/>
              <a:cs typeface="Times New Roman"/>
            </a:rPr>
            <a:t> sales </a:t>
          </a:r>
          <a:br>
            <a:rPr lang="en-US" sz="2000" b="1" i="0" u="none" strike="noStrike" baseline="0">
              <a:solidFill>
                <a:srgbClr val="000000"/>
              </a:solidFill>
              <a:latin typeface="Times New Roman"/>
              <a:cs typeface="Times New Roman"/>
            </a:rPr>
          </a:br>
          <a:r>
            <a:rPr lang="en-US" sz="2000" b="1" i="0" u="none" strike="noStrike" baseline="0">
              <a:solidFill>
                <a:srgbClr val="000000"/>
              </a:solidFill>
              <a:latin typeface="Times New Roman"/>
              <a:cs typeface="Times New Roman"/>
            </a:rPr>
            <a:t> $ </a:t>
          </a:r>
          <a:fld id="{232A7C9C-D3DD-4C93-9C9F-21AF21C33783}" type="TxLink">
            <a:rPr lang="en-US" sz="2000" b="1" i="0" u="none" strike="noStrike">
              <a:solidFill>
                <a:srgbClr val="000000"/>
              </a:solidFill>
              <a:latin typeface="Times New Roman"/>
              <a:cs typeface="Times New Roman"/>
            </a:rPr>
            <a:pPr algn="ctr"/>
            <a:t>252.2K</a:t>
          </a:fld>
          <a:endParaRPr lang="en-US" sz="1600"/>
        </a:p>
      </xdr:txBody>
    </xdr:sp>
    <xdr:clientData/>
  </xdr:twoCellAnchor>
  <xdr:twoCellAnchor>
    <xdr:from>
      <xdr:col>9</xdr:col>
      <xdr:colOff>450272</xdr:colOff>
      <xdr:row>0</xdr:row>
      <xdr:rowOff>34637</xdr:rowOff>
    </xdr:from>
    <xdr:to>
      <xdr:col>12</xdr:col>
      <xdr:colOff>357327</xdr:colOff>
      <xdr:row>5</xdr:row>
      <xdr:rowOff>113866</xdr:rowOff>
    </xdr:to>
    <xdr:sp macro="" textlink="Sheet2!D63">
      <xdr:nvSpPr>
        <xdr:cNvPr id="25" name="Rectangle: Rounded Corners 24">
          <a:extLst>
            <a:ext uri="{FF2B5EF4-FFF2-40B4-BE49-F238E27FC236}">
              <a16:creationId xmlns:a16="http://schemas.microsoft.com/office/drawing/2014/main" id="{9EF73867-7357-4AA6-954E-A35EE363774B}"/>
            </a:ext>
          </a:extLst>
        </xdr:cNvPr>
        <xdr:cNvSpPr/>
      </xdr:nvSpPr>
      <xdr:spPr>
        <a:xfrm>
          <a:off x="7412181" y="34637"/>
          <a:ext cx="2227691" cy="12337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Times New Roman"/>
              <a:cs typeface="Times New Roman"/>
            </a:rPr>
            <a:t>Sum</a:t>
          </a:r>
          <a:r>
            <a:rPr lang="en-US" sz="2000" b="1" i="0" u="none" strike="noStrike" baseline="0">
              <a:solidFill>
                <a:srgbClr val="000000"/>
              </a:solidFill>
              <a:latin typeface="Times New Roman"/>
              <a:cs typeface="Times New Roman"/>
            </a:rPr>
            <a:t> of Quantity</a:t>
          </a:r>
          <a:br>
            <a:rPr lang="en-US" sz="2000" b="1" i="0" u="none" strike="noStrike" baseline="0">
              <a:solidFill>
                <a:srgbClr val="000000"/>
              </a:solidFill>
              <a:latin typeface="Times New Roman"/>
              <a:cs typeface="Times New Roman"/>
            </a:rPr>
          </a:br>
          <a:fld id="{195CC582-97FA-45D2-A783-190BADFE1965}" type="TxLink">
            <a:rPr lang="en-US" sz="2000" b="1" i="0" u="none" strike="noStrike">
              <a:solidFill>
                <a:srgbClr val="000000"/>
              </a:solidFill>
              <a:latin typeface="Times New Roman"/>
              <a:cs typeface="Times New Roman"/>
            </a:rPr>
            <a:pPr algn="ctr"/>
            <a:t>565</a:t>
          </a:fld>
          <a:endParaRPr lang="en-US" sz="24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8.668583564817" createdVersion="8" refreshedVersion="8" minRefreshableVersion="3" recordCount="100" xr:uid="{855DD84A-1B66-4D0E-8181-BBAEF260ED22}">
  <cacheSource type="worksheet">
    <worksheetSource ref="A1:I101" sheet="Sheet1"/>
  </cacheSource>
  <cacheFields count="11">
    <cacheField name="Order ID" numFmtId="0">
      <sharedItems/>
    </cacheField>
    <cacheField name="Date" numFmtId="0">
      <sharedItems containsSemiMixedTypes="0" containsNonDate="0" containsDate="1" containsString="0" minDate="2024-01-05T00:00:00" maxDate="2024-12-28T00:00:00" count="86">
        <d v="2024-06-03T00:00:00"/>
        <d v="2024-06-09T00:00:00"/>
        <d v="2024-04-02T00:00:00"/>
        <d v="2024-04-23T00:00:00"/>
        <d v="2024-08-14T00:00:00"/>
        <d v="2024-09-25T00:00:00"/>
        <d v="2024-12-04T00:00:00"/>
        <d v="2024-11-06T00:00:00"/>
        <d v="2024-05-25T00:00:00"/>
        <d v="2024-05-18T00:00:00"/>
        <d v="2024-12-27T00:00:00"/>
        <d v="2024-10-05T00:00:00"/>
        <d v="2024-08-19T00:00:00"/>
        <d v="2024-02-18T00:00:00"/>
        <d v="2024-02-13T00:00:00"/>
        <d v="2024-02-25T00:00:00"/>
        <d v="2024-01-16T00:00:00"/>
        <d v="2024-01-05T00:00:00"/>
        <d v="2024-08-31T00:00:00"/>
        <d v="2024-03-29T00:00:00"/>
        <d v="2024-09-14T00:00:00"/>
        <d v="2024-08-06T00:00:00"/>
        <d v="2024-12-11T00:00:00"/>
        <d v="2024-08-02T00:00:00"/>
        <d v="2024-03-16T00:00:00"/>
        <d v="2024-11-26T00:00:00"/>
        <d v="2024-03-23T00:00:00"/>
        <d v="2024-02-12T00:00:00"/>
        <d v="2024-01-12T00:00:00"/>
        <d v="2024-10-31T00:00:00"/>
        <d v="2024-09-04T00:00:00"/>
        <d v="2024-12-14T00:00:00"/>
        <d v="2024-01-23T00:00:00"/>
        <d v="2024-12-13T00:00:00"/>
        <d v="2024-12-23T00:00:00"/>
        <d v="2024-03-06T00:00:00"/>
        <d v="2024-07-01T00:00:00"/>
        <d v="2024-07-05T00:00:00"/>
        <d v="2024-03-31T00:00:00"/>
        <d v="2024-06-28T00:00:00"/>
        <d v="2024-05-17T00:00:00"/>
        <d v="2024-04-12T00:00:00"/>
        <d v="2024-09-02T00:00:00"/>
        <d v="2024-05-19T00:00:00"/>
        <d v="2024-11-30T00:00:00"/>
        <d v="2024-01-15T00:00:00"/>
        <d v="2024-02-02T00:00:00"/>
        <d v="2024-09-12T00:00:00"/>
        <d v="2024-06-04T00:00:00"/>
        <d v="2024-03-12T00:00:00"/>
        <d v="2024-08-01T00:00:00"/>
        <d v="2024-08-18T00:00:00"/>
        <d v="2024-06-12T00:00:00"/>
        <d v="2024-07-09T00:00:00"/>
        <d v="2024-09-27T00:00:00"/>
        <d v="2024-05-11T00:00:00"/>
        <d v="2024-04-19T00:00:00"/>
        <d v="2024-11-21T00:00:00"/>
        <d v="2024-01-06T00:00:00"/>
        <d v="2024-09-19T00:00:00"/>
        <d v="2024-04-25T00:00:00"/>
        <d v="2024-07-26T00:00:00"/>
        <d v="2024-10-25T00:00:00"/>
        <d v="2024-03-17T00:00:00"/>
        <d v="2024-12-18T00:00:00"/>
        <d v="2024-04-03T00:00:00"/>
        <d v="2024-10-06T00:00:00"/>
        <d v="2024-12-02T00:00:00"/>
        <d v="2024-08-24T00:00:00"/>
        <d v="2024-10-16T00:00:00"/>
        <d v="2024-03-21T00:00:00"/>
        <d v="2024-10-30T00:00:00"/>
        <d v="2024-04-01T00:00:00"/>
        <d v="2024-12-17T00:00:00"/>
        <d v="2024-06-06T00:00:00"/>
        <d v="2024-02-28T00:00:00"/>
        <d v="2024-01-27T00:00:00"/>
        <d v="2024-02-24T00:00:00"/>
        <d v="2024-12-06T00:00:00"/>
        <d v="2024-02-23T00:00:00"/>
        <d v="2024-02-15T00:00:00"/>
        <d v="2024-10-14T00:00:00"/>
        <d v="2024-09-08T00:00:00"/>
        <d v="2024-12-08T00:00:00"/>
        <d v="2024-05-07T00:00:00"/>
        <d v="2024-04-07T00:00:00"/>
      </sharedItems>
      <fieldGroup par="10"/>
    </cacheField>
    <cacheField name="Region" numFmtId="0">
      <sharedItems count="4">
        <s v="South"/>
        <s v="North"/>
        <s v="West"/>
        <s v="East"/>
      </sharedItems>
    </cacheField>
    <cacheField name="Sales Rep" numFmtId="0">
      <sharedItems count="8">
        <s v="Mike Brown"/>
        <s v="Sarah Johnson"/>
        <s v="John Smith"/>
        <s v="Tom Anderson"/>
        <s v="David Wilson"/>
        <s v="Lisa Garcia"/>
        <s v="Anna Davis"/>
        <s v="Emma Taylor"/>
      </sharedItems>
    </cacheField>
    <cacheField name="Product" numFmtId="0">
      <sharedItems count="10">
        <s v="Chair"/>
        <s v="Phone"/>
        <s v="Monitor"/>
        <s v="Headphones"/>
        <s v="Tablet"/>
        <s v="Desk"/>
        <s v="Mouse"/>
        <s v="Laptop"/>
        <s v="Printer"/>
        <s v="Keyboard"/>
      </sharedItems>
    </cacheField>
    <cacheField name="Category" numFmtId="0">
      <sharedItems count="3">
        <s v="Furniture"/>
        <s v="Electronics"/>
        <s v="Accessories"/>
      </sharedItems>
    </cacheField>
    <cacheField name="Quantity" numFmtId="0">
      <sharedItems containsSemiMixedTypes="0" containsString="0" containsNumber="1" containsInteger="1" minValue="1" maxValue="10" count="10">
        <n v="5"/>
        <n v="10"/>
        <n v="9"/>
        <n v="2"/>
        <n v="1"/>
        <n v="3"/>
        <n v="4"/>
        <n v="7"/>
        <n v="6"/>
        <n v="8"/>
      </sharedItems>
    </cacheField>
    <cacheField name="Unit Price" numFmtId="0">
      <sharedItems containsSemiMixedTypes="0" containsString="0" containsNumber="1" containsInteger="1" minValue="45" maxValue="1200"/>
    </cacheField>
    <cacheField name="Total Sales" numFmtId="0">
      <sharedItems containsSemiMixedTypes="0" containsString="0" containsNumber="1" containsInteger="1" minValue="45" maxValue="12000" count="51">
        <n v="1750"/>
        <n v="4000"/>
        <n v="3000"/>
        <n v="1080"/>
        <n v="2250"/>
        <n v="4500"/>
        <n v="240"/>
        <n v="500"/>
        <n v="1200"/>
        <n v="7200"/>
        <n v="45"/>
        <n v="135"/>
        <n v="1500"/>
        <n v="4800"/>
        <n v="180"/>
        <n v="315"/>
        <n v="1350"/>
        <n v="2400"/>
        <n v="225"/>
        <n v="5000"/>
        <n v="8400"/>
        <n v="720"/>
        <n v="480"/>
        <n v="2700"/>
        <n v="450"/>
        <n v="1600"/>
        <n v="2000"/>
        <n v="6000"/>
        <n v="3500"/>
        <n v="405"/>
        <n v="12000"/>
        <n v="270"/>
        <n v="2800"/>
        <n v="3150"/>
        <n v="10800"/>
        <n v="75"/>
        <n v="960"/>
        <n v="600"/>
        <n v="750"/>
        <n v="2450"/>
        <n v="800"/>
        <n v="4050"/>
        <n v="5600"/>
        <n v="3600"/>
        <n v="8000"/>
        <n v="300"/>
        <n v="360"/>
        <n v="120"/>
        <n v="2100"/>
        <n v="1400"/>
        <n v="350"/>
      </sharedItems>
    </cacheField>
    <cacheField name="Days (Date)" numFmtId="0" databaseField="0">
      <fieldGroup base="1">
        <rangePr groupBy="days" startDate="2024-01-05T00:00:00" endDate="2024-12-28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8/2024"/>
        </groupItems>
      </fieldGroup>
    </cacheField>
    <cacheField name="Months (Date)" numFmtId="0" databaseField="0">
      <fieldGroup base="1">
        <rangePr groupBy="months" startDate="2024-01-05T00:00:00" endDate="2024-12-28T00:00:00"/>
        <groupItems count="14">
          <s v="&lt;1/5/2024"/>
          <s v="Jan"/>
          <s v="Feb"/>
          <s v="Mar"/>
          <s v="Apr"/>
          <s v="May"/>
          <s v="Jun"/>
          <s v="Jul"/>
          <s v="Aug"/>
          <s v="Sep"/>
          <s v="Oct"/>
          <s v="Nov"/>
          <s v="Dec"/>
          <s v="&gt;12/28/2024"/>
        </groupItems>
      </fieldGroup>
    </cacheField>
  </cacheFields>
  <extLst>
    <ext xmlns:x14="http://schemas.microsoft.com/office/spreadsheetml/2009/9/main" uri="{725AE2AE-9491-48be-B2B4-4EB974FC3084}">
      <x14:pivotCacheDefinition pivotCacheId="19641600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2.709809259257" createdVersion="8" refreshedVersion="8" minRefreshableVersion="3" recordCount="100" xr:uid="{D6525656-5F62-49C4-A1D3-C3310E1013B7}">
  <cacheSource type="worksheet">
    <worksheetSource name="Table1"/>
  </cacheSource>
  <cacheFields count="9">
    <cacheField name="Order ID" numFmtId="0">
      <sharedItems/>
    </cacheField>
    <cacheField name="Date" numFmtId="0">
      <sharedItems containsSemiMixedTypes="0" containsNonDate="0" containsDate="1" containsString="0" minDate="2024-01-05T00:00:00" maxDate="2024-12-28T00:00:00"/>
    </cacheField>
    <cacheField name="Region" numFmtId="0">
      <sharedItems count="4">
        <s v="South"/>
        <s v="North"/>
        <s v="West"/>
        <s v="East"/>
      </sharedItems>
    </cacheField>
    <cacheField name="Sales Rep" numFmtId="0">
      <sharedItems count="8">
        <s v="Mike Brown"/>
        <s v="Sarah Johnson"/>
        <s v="John Smith"/>
        <s v="Tom Anderson"/>
        <s v="David Wilson"/>
        <s v="Lisa Garcia"/>
        <s v="Anna Davis"/>
        <s v="Emma Taylor"/>
      </sharedItems>
    </cacheField>
    <cacheField name="Product" numFmtId="0">
      <sharedItems count="10">
        <s v="Chair"/>
        <s v="Phone"/>
        <s v="Monitor"/>
        <s v="Headphones"/>
        <s v="Tablet"/>
        <s v="Desk"/>
        <s v="Mouse"/>
        <s v="Laptop"/>
        <s v="Printer"/>
        <s v="Keyboard"/>
      </sharedItems>
    </cacheField>
    <cacheField name="Category" numFmtId="0">
      <sharedItems count="3">
        <s v="Furniture"/>
        <s v="Electronics"/>
        <s v="Accessories"/>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45" maxValue="1200"/>
    </cacheField>
    <cacheField name="Total Sales" numFmtId="0">
      <sharedItems containsSemiMixedTypes="0" containsString="0" containsNumber="1" containsInteger="1" minValue="45" maxValue="12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2.710751620369" createdVersion="8" refreshedVersion="8" minRefreshableVersion="3" recordCount="100" xr:uid="{81CCB4B4-B411-4D66-A85D-4E7EFE23621C}">
  <cacheSource type="worksheet">
    <worksheetSource name="Table1"/>
  </cacheSource>
  <cacheFields count="9">
    <cacheField name="Order ID" numFmtId="0">
      <sharedItems/>
    </cacheField>
    <cacheField name="Date" numFmtId="0">
      <sharedItems containsSemiMixedTypes="0" containsNonDate="0" containsDate="1" containsString="0" minDate="2024-01-05T00:00:00" maxDate="2024-12-28T00:00:00"/>
    </cacheField>
    <cacheField name="Region" numFmtId="0">
      <sharedItems count="4">
        <s v="South"/>
        <s v="North"/>
        <s v="West"/>
        <s v="East"/>
      </sharedItems>
    </cacheField>
    <cacheField name="Sales Rep" numFmtId="0">
      <sharedItems count="8">
        <s v="Mike Brown"/>
        <s v="Sarah Johnson"/>
        <s v="John Smith"/>
        <s v="Tom Anderson"/>
        <s v="David Wilson"/>
        <s v="Lisa Garcia"/>
        <s v="Anna Davis"/>
        <s v="Emma Taylor"/>
      </sharedItems>
    </cacheField>
    <cacheField name="Product" numFmtId="0">
      <sharedItems/>
    </cacheField>
    <cacheField name="Category" numFmtId="0">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45" maxValue="1200"/>
    </cacheField>
    <cacheField name="Total Sales" numFmtId="0">
      <sharedItems containsSemiMixedTypes="0" containsString="0" containsNumber="1" containsInteger="1" minValue="45" maxValue="12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2.712142129632" createdVersion="8" refreshedVersion="8" minRefreshableVersion="3" recordCount="100" xr:uid="{655AC86B-F53F-4097-B116-BC53E9E75CB0}">
  <cacheSource type="worksheet">
    <worksheetSource name="Table1"/>
  </cacheSource>
  <cacheFields count="11">
    <cacheField name="Order ID" numFmtId="0">
      <sharedItems count="1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haredItems>
    </cacheField>
    <cacheField name="Date" numFmtId="0">
      <sharedItems containsSemiMixedTypes="0" containsNonDate="0" containsDate="1" containsString="0" minDate="2024-01-05T00:00:00" maxDate="2024-12-28T00:00:00" count="86">
        <d v="2024-06-03T00:00:00"/>
        <d v="2024-06-09T00:00:00"/>
        <d v="2024-04-02T00:00:00"/>
        <d v="2024-04-23T00:00:00"/>
        <d v="2024-08-14T00:00:00"/>
        <d v="2024-09-25T00:00:00"/>
        <d v="2024-12-04T00:00:00"/>
        <d v="2024-11-06T00:00:00"/>
        <d v="2024-05-25T00:00:00"/>
        <d v="2024-05-18T00:00:00"/>
        <d v="2024-12-27T00:00:00"/>
        <d v="2024-10-05T00:00:00"/>
        <d v="2024-08-19T00:00:00"/>
        <d v="2024-02-18T00:00:00"/>
        <d v="2024-02-13T00:00:00"/>
        <d v="2024-02-25T00:00:00"/>
        <d v="2024-01-16T00:00:00"/>
        <d v="2024-01-05T00:00:00"/>
        <d v="2024-08-31T00:00:00"/>
        <d v="2024-03-29T00:00:00"/>
        <d v="2024-09-14T00:00:00"/>
        <d v="2024-08-06T00:00:00"/>
        <d v="2024-12-11T00:00:00"/>
        <d v="2024-08-02T00:00:00"/>
        <d v="2024-03-16T00:00:00"/>
        <d v="2024-11-26T00:00:00"/>
        <d v="2024-03-23T00:00:00"/>
        <d v="2024-02-12T00:00:00"/>
        <d v="2024-01-12T00:00:00"/>
        <d v="2024-10-31T00:00:00"/>
        <d v="2024-09-04T00:00:00"/>
        <d v="2024-12-14T00:00:00"/>
        <d v="2024-01-23T00:00:00"/>
        <d v="2024-12-13T00:00:00"/>
        <d v="2024-12-23T00:00:00"/>
        <d v="2024-03-06T00:00:00"/>
        <d v="2024-07-01T00:00:00"/>
        <d v="2024-07-05T00:00:00"/>
        <d v="2024-03-31T00:00:00"/>
        <d v="2024-06-28T00:00:00"/>
        <d v="2024-05-17T00:00:00"/>
        <d v="2024-04-12T00:00:00"/>
        <d v="2024-09-02T00:00:00"/>
        <d v="2024-05-19T00:00:00"/>
        <d v="2024-11-30T00:00:00"/>
        <d v="2024-01-15T00:00:00"/>
        <d v="2024-02-02T00:00:00"/>
        <d v="2024-09-12T00:00:00"/>
        <d v="2024-06-04T00:00:00"/>
        <d v="2024-03-12T00:00:00"/>
        <d v="2024-08-01T00:00:00"/>
        <d v="2024-08-18T00:00:00"/>
        <d v="2024-06-12T00:00:00"/>
        <d v="2024-07-09T00:00:00"/>
        <d v="2024-09-27T00:00:00"/>
        <d v="2024-05-11T00:00:00"/>
        <d v="2024-04-19T00:00:00"/>
        <d v="2024-11-21T00:00:00"/>
        <d v="2024-01-06T00:00:00"/>
        <d v="2024-09-19T00:00:00"/>
        <d v="2024-04-25T00:00:00"/>
        <d v="2024-07-26T00:00:00"/>
        <d v="2024-10-25T00:00:00"/>
        <d v="2024-03-17T00:00:00"/>
        <d v="2024-12-18T00:00:00"/>
        <d v="2024-04-03T00:00:00"/>
        <d v="2024-10-06T00:00:00"/>
        <d v="2024-12-02T00:00:00"/>
        <d v="2024-08-24T00:00:00"/>
        <d v="2024-10-16T00:00:00"/>
        <d v="2024-03-21T00:00:00"/>
        <d v="2024-10-30T00:00:00"/>
        <d v="2024-04-01T00:00:00"/>
        <d v="2024-12-17T00:00:00"/>
        <d v="2024-06-06T00:00:00"/>
        <d v="2024-02-28T00:00:00"/>
        <d v="2024-01-27T00:00:00"/>
        <d v="2024-02-24T00:00:00"/>
        <d v="2024-12-06T00:00:00"/>
        <d v="2024-02-23T00:00:00"/>
        <d v="2024-02-15T00:00:00"/>
        <d v="2024-10-14T00:00:00"/>
        <d v="2024-09-08T00:00:00"/>
        <d v="2024-12-08T00:00:00"/>
        <d v="2024-05-07T00:00:00"/>
        <d v="2024-04-07T00:00:00"/>
      </sharedItems>
      <fieldGroup par="10"/>
    </cacheField>
    <cacheField name="Region" numFmtId="0">
      <sharedItems count="4">
        <s v="South"/>
        <s v="North"/>
        <s v="West"/>
        <s v="East"/>
      </sharedItems>
    </cacheField>
    <cacheField name="Sales Rep" numFmtId="0">
      <sharedItems/>
    </cacheField>
    <cacheField name="Product" numFmtId="0">
      <sharedItems count="10">
        <s v="Chair"/>
        <s v="Phone"/>
        <s v="Monitor"/>
        <s v="Headphones"/>
        <s v="Tablet"/>
        <s v="Desk"/>
        <s v="Mouse"/>
        <s v="Laptop"/>
        <s v="Printer"/>
        <s v="Keyboard"/>
      </sharedItems>
    </cacheField>
    <cacheField name="Category" numFmtId="0">
      <sharedItems count="3">
        <s v="Furniture"/>
        <s v="Electronics"/>
        <s v="Accessories"/>
      </sharedItems>
    </cacheField>
    <cacheField name="Quantity" numFmtId="0">
      <sharedItems containsSemiMixedTypes="0" containsString="0" containsNumber="1" containsInteger="1" minValue="1" maxValue="10" count="10">
        <n v="5"/>
        <n v="10"/>
        <n v="9"/>
        <n v="2"/>
        <n v="1"/>
        <n v="3"/>
        <n v="4"/>
        <n v="7"/>
        <n v="6"/>
        <n v="8"/>
      </sharedItems>
    </cacheField>
    <cacheField name="Unit Price" numFmtId="0">
      <sharedItems containsSemiMixedTypes="0" containsString="0" containsNumber="1" containsInteger="1" minValue="45" maxValue="1200" count="10">
        <n v="350"/>
        <n v="800"/>
        <n v="300"/>
        <n v="120"/>
        <n v="450"/>
        <n v="500"/>
        <n v="45"/>
        <n v="1200"/>
        <n v="250"/>
        <n v="75"/>
      </sharedItems>
    </cacheField>
    <cacheField name="Total Sales" numFmtId="0">
      <sharedItems containsSemiMixedTypes="0" containsString="0" containsNumber="1" containsInteger="1" minValue="45" maxValue="12000" count="51">
        <n v="1750"/>
        <n v="4000"/>
        <n v="3000"/>
        <n v="1080"/>
        <n v="2250"/>
        <n v="4500"/>
        <n v="240"/>
        <n v="500"/>
        <n v="1200"/>
        <n v="7200"/>
        <n v="45"/>
        <n v="135"/>
        <n v="1500"/>
        <n v="4800"/>
        <n v="180"/>
        <n v="315"/>
        <n v="1350"/>
        <n v="2400"/>
        <n v="225"/>
        <n v="5000"/>
        <n v="8400"/>
        <n v="720"/>
        <n v="480"/>
        <n v="2700"/>
        <n v="450"/>
        <n v="1600"/>
        <n v="2000"/>
        <n v="6000"/>
        <n v="3500"/>
        <n v="405"/>
        <n v="12000"/>
        <n v="270"/>
        <n v="2800"/>
        <n v="3150"/>
        <n v="10800"/>
        <n v="75"/>
        <n v="960"/>
        <n v="600"/>
        <n v="750"/>
        <n v="2450"/>
        <n v="800"/>
        <n v="4050"/>
        <n v="5600"/>
        <n v="3600"/>
        <n v="8000"/>
        <n v="300"/>
        <n v="360"/>
        <n v="120"/>
        <n v="2100"/>
        <n v="1400"/>
        <n v="350"/>
      </sharedItems>
    </cacheField>
    <cacheField name="Days (Date)" numFmtId="0" databaseField="0">
      <fieldGroup base="1">
        <rangePr groupBy="days" startDate="2024-01-05T00:00:00" endDate="2024-12-28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8/2024"/>
        </groupItems>
      </fieldGroup>
    </cacheField>
    <cacheField name="Months (Date)" numFmtId="0" databaseField="0">
      <fieldGroup base="1">
        <rangePr groupBy="months" startDate="2024-01-05T00:00:00" endDate="2024-12-28T00:00:00"/>
        <groupItems count="14">
          <s v="&lt;1/5/2024"/>
          <s v="Jan"/>
          <s v="Feb"/>
          <s v="Mar"/>
          <s v="Apr"/>
          <s v="May"/>
          <s v="Jun"/>
          <s v="Jul"/>
          <s v="Aug"/>
          <s v="Sep"/>
          <s v="Oct"/>
          <s v="Nov"/>
          <s v="Dec"/>
          <s v="&gt;12/28/2024"/>
        </groupItems>
      </fieldGroup>
    </cacheField>
  </cacheFields>
  <extLst>
    <ext xmlns:x14="http://schemas.microsoft.com/office/spreadsheetml/2009/9/main" uri="{725AE2AE-9491-48be-B2B4-4EB974FC3084}">
      <x14:pivotCacheDefinition pivotCacheId="1050011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x v="0"/>
    <x v="0"/>
    <x v="0"/>
    <x v="0"/>
    <x v="0"/>
    <x v="0"/>
    <n v="350"/>
    <x v="0"/>
  </r>
  <r>
    <s v="ORD-1001"/>
    <x v="1"/>
    <x v="1"/>
    <x v="1"/>
    <x v="1"/>
    <x v="1"/>
    <x v="0"/>
    <n v="800"/>
    <x v="1"/>
  </r>
  <r>
    <s v="ORD-1002"/>
    <x v="2"/>
    <x v="1"/>
    <x v="1"/>
    <x v="2"/>
    <x v="1"/>
    <x v="1"/>
    <n v="300"/>
    <x v="2"/>
  </r>
  <r>
    <s v="ORD-1003"/>
    <x v="3"/>
    <x v="1"/>
    <x v="2"/>
    <x v="3"/>
    <x v="2"/>
    <x v="2"/>
    <n v="120"/>
    <x v="3"/>
  </r>
  <r>
    <s v="ORD-1004"/>
    <x v="4"/>
    <x v="2"/>
    <x v="3"/>
    <x v="4"/>
    <x v="1"/>
    <x v="0"/>
    <n v="450"/>
    <x v="4"/>
  </r>
  <r>
    <s v="ORD-1005"/>
    <x v="5"/>
    <x v="3"/>
    <x v="4"/>
    <x v="5"/>
    <x v="0"/>
    <x v="2"/>
    <n v="500"/>
    <x v="5"/>
  </r>
  <r>
    <s v="ORD-1006"/>
    <x v="6"/>
    <x v="2"/>
    <x v="5"/>
    <x v="3"/>
    <x v="2"/>
    <x v="3"/>
    <n v="120"/>
    <x v="6"/>
  </r>
  <r>
    <s v="ORD-1007"/>
    <x v="7"/>
    <x v="2"/>
    <x v="3"/>
    <x v="5"/>
    <x v="0"/>
    <x v="4"/>
    <n v="500"/>
    <x v="7"/>
  </r>
  <r>
    <s v="ORD-1008"/>
    <x v="8"/>
    <x v="0"/>
    <x v="0"/>
    <x v="3"/>
    <x v="2"/>
    <x v="1"/>
    <n v="120"/>
    <x v="8"/>
  </r>
  <r>
    <s v="ORD-1009"/>
    <x v="9"/>
    <x v="0"/>
    <x v="0"/>
    <x v="1"/>
    <x v="1"/>
    <x v="2"/>
    <n v="800"/>
    <x v="9"/>
  </r>
  <r>
    <s v="ORD-1010"/>
    <x v="10"/>
    <x v="2"/>
    <x v="3"/>
    <x v="6"/>
    <x v="2"/>
    <x v="4"/>
    <n v="45"/>
    <x v="10"/>
  </r>
  <r>
    <s v="ORD-1011"/>
    <x v="11"/>
    <x v="0"/>
    <x v="6"/>
    <x v="6"/>
    <x v="2"/>
    <x v="5"/>
    <n v="45"/>
    <x v="11"/>
  </r>
  <r>
    <s v="ORD-1012"/>
    <x v="12"/>
    <x v="2"/>
    <x v="5"/>
    <x v="1"/>
    <x v="1"/>
    <x v="2"/>
    <n v="800"/>
    <x v="9"/>
  </r>
  <r>
    <s v="ORD-1013"/>
    <x v="13"/>
    <x v="1"/>
    <x v="2"/>
    <x v="5"/>
    <x v="0"/>
    <x v="5"/>
    <n v="500"/>
    <x v="12"/>
  </r>
  <r>
    <s v="ORD-1014"/>
    <x v="14"/>
    <x v="1"/>
    <x v="1"/>
    <x v="4"/>
    <x v="1"/>
    <x v="0"/>
    <n v="450"/>
    <x v="4"/>
  </r>
  <r>
    <s v="ORD-1015"/>
    <x v="15"/>
    <x v="3"/>
    <x v="7"/>
    <x v="7"/>
    <x v="1"/>
    <x v="6"/>
    <n v="1200"/>
    <x v="13"/>
  </r>
  <r>
    <s v="ORD-1016"/>
    <x v="16"/>
    <x v="1"/>
    <x v="2"/>
    <x v="8"/>
    <x v="1"/>
    <x v="3"/>
    <n v="250"/>
    <x v="7"/>
  </r>
  <r>
    <s v="ORD-1017"/>
    <x v="17"/>
    <x v="1"/>
    <x v="2"/>
    <x v="6"/>
    <x v="2"/>
    <x v="6"/>
    <n v="45"/>
    <x v="14"/>
  </r>
  <r>
    <s v="ORD-1018"/>
    <x v="18"/>
    <x v="1"/>
    <x v="2"/>
    <x v="6"/>
    <x v="2"/>
    <x v="7"/>
    <n v="45"/>
    <x v="15"/>
  </r>
  <r>
    <s v="ORD-1019"/>
    <x v="19"/>
    <x v="2"/>
    <x v="5"/>
    <x v="4"/>
    <x v="1"/>
    <x v="5"/>
    <n v="450"/>
    <x v="16"/>
  </r>
  <r>
    <s v="ORD-1020"/>
    <x v="20"/>
    <x v="0"/>
    <x v="0"/>
    <x v="1"/>
    <x v="1"/>
    <x v="5"/>
    <n v="800"/>
    <x v="17"/>
  </r>
  <r>
    <s v="ORD-1021"/>
    <x v="21"/>
    <x v="3"/>
    <x v="7"/>
    <x v="6"/>
    <x v="2"/>
    <x v="0"/>
    <n v="45"/>
    <x v="18"/>
  </r>
  <r>
    <s v="ORD-1022"/>
    <x v="22"/>
    <x v="1"/>
    <x v="1"/>
    <x v="5"/>
    <x v="0"/>
    <x v="1"/>
    <n v="500"/>
    <x v="19"/>
  </r>
  <r>
    <s v="ORD-1023"/>
    <x v="23"/>
    <x v="3"/>
    <x v="7"/>
    <x v="7"/>
    <x v="1"/>
    <x v="7"/>
    <n v="1200"/>
    <x v="20"/>
  </r>
  <r>
    <s v="ORD-1024"/>
    <x v="24"/>
    <x v="3"/>
    <x v="7"/>
    <x v="4"/>
    <x v="1"/>
    <x v="1"/>
    <n v="450"/>
    <x v="5"/>
  </r>
  <r>
    <s v="ORD-1025"/>
    <x v="25"/>
    <x v="3"/>
    <x v="4"/>
    <x v="7"/>
    <x v="1"/>
    <x v="8"/>
    <n v="1200"/>
    <x v="9"/>
  </r>
  <r>
    <s v="ORD-1026"/>
    <x v="12"/>
    <x v="1"/>
    <x v="1"/>
    <x v="3"/>
    <x v="2"/>
    <x v="8"/>
    <n v="120"/>
    <x v="21"/>
  </r>
  <r>
    <s v="ORD-1027"/>
    <x v="26"/>
    <x v="1"/>
    <x v="1"/>
    <x v="3"/>
    <x v="2"/>
    <x v="6"/>
    <n v="120"/>
    <x v="22"/>
  </r>
  <r>
    <s v="ORD-1028"/>
    <x v="27"/>
    <x v="1"/>
    <x v="2"/>
    <x v="1"/>
    <x v="1"/>
    <x v="0"/>
    <n v="800"/>
    <x v="1"/>
  </r>
  <r>
    <s v="ORD-1029"/>
    <x v="14"/>
    <x v="2"/>
    <x v="3"/>
    <x v="4"/>
    <x v="1"/>
    <x v="8"/>
    <n v="450"/>
    <x v="23"/>
  </r>
  <r>
    <s v="ORD-1030"/>
    <x v="28"/>
    <x v="1"/>
    <x v="2"/>
    <x v="6"/>
    <x v="2"/>
    <x v="1"/>
    <n v="45"/>
    <x v="24"/>
  </r>
  <r>
    <s v="ORD-1031"/>
    <x v="29"/>
    <x v="1"/>
    <x v="1"/>
    <x v="1"/>
    <x v="1"/>
    <x v="3"/>
    <n v="800"/>
    <x v="25"/>
  </r>
  <r>
    <s v="ORD-1032"/>
    <x v="30"/>
    <x v="0"/>
    <x v="0"/>
    <x v="8"/>
    <x v="1"/>
    <x v="9"/>
    <n v="250"/>
    <x v="26"/>
  </r>
  <r>
    <s v="ORD-1033"/>
    <x v="31"/>
    <x v="3"/>
    <x v="7"/>
    <x v="7"/>
    <x v="1"/>
    <x v="0"/>
    <n v="1200"/>
    <x v="27"/>
  </r>
  <r>
    <s v="ORD-1034"/>
    <x v="32"/>
    <x v="0"/>
    <x v="0"/>
    <x v="0"/>
    <x v="0"/>
    <x v="1"/>
    <n v="350"/>
    <x v="28"/>
  </r>
  <r>
    <s v="ORD-1035"/>
    <x v="33"/>
    <x v="1"/>
    <x v="1"/>
    <x v="6"/>
    <x v="2"/>
    <x v="2"/>
    <n v="45"/>
    <x v="29"/>
  </r>
  <r>
    <s v="ORD-1036"/>
    <x v="34"/>
    <x v="2"/>
    <x v="3"/>
    <x v="6"/>
    <x v="2"/>
    <x v="7"/>
    <n v="45"/>
    <x v="15"/>
  </r>
  <r>
    <s v="ORD-1037"/>
    <x v="35"/>
    <x v="3"/>
    <x v="7"/>
    <x v="0"/>
    <x v="0"/>
    <x v="0"/>
    <n v="350"/>
    <x v="0"/>
  </r>
  <r>
    <s v="ORD-1038"/>
    <x v="36"/>
    <x v="0"/>
    <x v="0"/>
    <x v="7"/>
    <x v="1"/>
    <x v="1"/>
    <n v="1200"/>
    <x v="30"/>
  </r>
  <r>
    <s v="ORD-1039"/>
    <x v="37"/>
    <x v="0"/>
    <x v="6"/>
    <x v="7"/>
    <x v="1"/>
    <x v="8"/>
    <n v="1200"/>
    <x v="9"/>
  </r>
  <r>
    <s v="ORD-1040"/>
    <x v="38"/>
    <x v="2"/>
    <x v="5"/>
    <x v="4"/>
    <x v="1"/>
    <x v="0"/>
    <n v="450"/>
    <x v="4"/>
  </r>
  <r>
    <s v="ORD-1041"/>
    <x v="39"/>
    <x v="1"/>
    <x v="2"/>
    <x v="1"/>
    <x v="1"/>
    <x v="0"/>
    <n v="800"/>
    <x v="1"/>
  </r>
  <r>
    <s v="ORD-1042"/>
    <x v="40"/>
    <x v="3"/>
    <x v="7"/>
    <x v="9"/>
    <x v="2"/>
    <x v="5"/>
    <n v="75"/>
    <x v="18"/>
  </r>
  <r>
    <s v="ORD-1043"/>
    <x v="41"/>
    <x v="0"/>
    <x v="6"/>
    <x v="6"/>
    <x v="2"/>
    <x v="8"/>
    <n v="45"/>
    <x v="31"/>
  </r>
  <r>
    <s v="ORD-1044"/>
    <x v="42"/>
    <x v="2"/>
    <x v="3"/>
    <x v="0"/>
    <x v="0"/>
    <x v="9"/>
    <n v="350"/>
    <x v="32"/>
  </r>
  <r>
    <s v="ORD-1045"/>
    <x v="26"/>
    <x v="3"/>
    <x v="7"/>
    <x v="5"/>
    <x v="0"/>
    <x v="6"/>
    <n v="500"/>
    <x v="26"/>
  </r>
  <r>
    <s v="ORD-1046"/>
    <x v="43"/>
    <x v="2"/>
    <x v="3"/>
    <x v="7"/>
    <x v="1"/>
    <x v="3"/>
    <n v="1200"/>
    <x v="17"/>
  </r>
  <r>
    <s v="ORD-1047"/>
    <x v="44"/>
    <x v="1"/>
    <x v="2"/>
    <x v="4"/>
    <x v="1"/>
    <x v="7"/>
    <n v="450"/>
    <x v="33"/>
  </r>
  <r>
    <s v="ORD-1048"/>
    <x v="45"/>
    <x v="2"/>
    <x v="5"/>
    <x v="7"/>
    <x v="1"/>
    <x v="2"/>
    <n v="1200"/>
    <x v="34"/>
  </r>
  <r>
    <s v="ORD-1049"/>
    <x v="46"/>
    <x v="1"/>
    <x v="2"/>
    <x v="7"/>
    <x v="1"/>
    <x v="6"/>
    <n v="1200"/>
    <x v="13"/>
  </r>
  <r>
    <s v="ORD-1050"/>
    <x v="47"/>
    <x v="3"/>
    <x v="7"/>
    <x v="9"/>
    <x v="2"/>
    <x v="4"/>
    <n v="75"/>
    <x v="35"/>
  </r>
  <r>
    <s v="ORD-1051"/>
    <x v="31"/>
    <x v="1"/>
    <x v="1"/>
    <x v="3"/>
    <x v="2"/>
    <x v="9"/>
    <n v="120"/>
    <x v="36"/>
  </r>
  <r>
    <s v="ORD-1052"/>
    <x v="48"/>
    <x v="3"/>
    <x v="4"/>
    <x v="2"/>
    <x v="1"/>
    <x v="3"/>
    <n v="300"/>
    <x v="37"/>
  </r>
  <r>
    <s v="ORD-1053"/>
    <x v="49"/>
    <x v="0"/>
    <x v="0"/>
    <x v="9"/>
    <x v="2"/>
    <x v="8"/>
    <n v="75"/>
    <x v="24"/>
  </r>
  <r>
    <s v="ORD-1054"/>
    <x v="5"/>
    <x v="3"/>
    <x v="7"/>
    <x v="3"/>
    <x v="2"/>
    <x v="1"/>
    <n v="120"/>
    <x v="8"/>
  </r>
  <r>
    <s v="ORD-1055"/>
    <x v="50"/>
    <x v="1"/>
    <x v="2"/>
    <x v="1"/>
    <x v="1"/>
    <x v="8"/>
    <n v="800"/>
    <x v="13"/>
  </r>
  <r>
    <s v="ORD-1056"/>
    <x v="51"/>
    <x v="2"/>
    <x v="3"/>
    <x v="0"/>
    <x v="0"/>
    <x v="9"/>
    <n v="350"/>
    <x v="32"/>
  </r>
  <r>
    <s v="ORD-1057"/>
    <x v="52"/>
    <x v="1"/>
    <x v="1"/>
    <x v="9"/>
    <x v="2"/>
    <x v="1"/>
    <n v="75"/>
    <x v="38"/>
  </r>
  <r>
    <s v="ORD-1058"/>
    <x v="53"/>
    <x v="2"/>
    <x v="5"/>
    <x v="0"/>
    <x v="0"/>
    <x v="7"/>
    <n v="350"/>
    <x v="39"/>
  </r>
  <r>
    <s v="ORD-1059"/>
    <x v="27"/>
    <x v="2"/>
    <x v="5"/>
    <x v="9"/>
    <x v="2"/>
    <x v="4"/>
    <n v="75"/>
    <x v="35"/>
  </r>
  <r>
    <s v="ORD-1060"/>
    <x v="54"/>
    <x v="1"/>
    <x v="2"/>
    <x v="0"/>
    <x v="0"/>
    <x v="1"/>
    <n v="350"/>
    <x v="28"/>
  </r>
  <r>
    <s v="ORD-1061"/>
    <x v="52"/>
    <x v="1"/>
    <x v="1"/>
    <x v="8"/>
    <x v="1"/>
    <x v="3"/>
    <n v="250"/>
    <x v="7"/>
  </r>
  <r>
    <s v="ORD-1062"/>
    <x v="55"/>
    <x v="1"/>
    <x v="1"/>
    <x v="1"/>
    <x v="1"/>
    <x v="4"/>
    <n v="800"/>
    <x v="40"/>
  </r>
  <r>
    <s v="ORD-1063"/>
    <x v="39"/>
    <x v="1"/>
    <x v="2"/>
    <x v="2"/>
    <x v="1"/>
    <x v="3"/>
    <n v="300"/>
    <x v="37"/>
  </r>
  <r>
    <s v="ORD-1064"/>
    <x v="56"/>
    <x v="3"/>
    <x v="4"/>
    <x v="4"/>
    <x v="1"/>
    <x v="2"/>
    <n v="450"/>
    <x v="41"/>
  </r>
  <r>
    <s v="ORD-1065"/>
    <x v="57"/>
    <x v="1"/>
    <x v="2"/>
    <x v="7"/>
    <x v="1"/>
    <x v="6"/>
    <n v="1200"/>
    <x v="13"/>
  </r>
  <r>
    <s v="ORD-1066"/>
    <x v="58"/>
    <x v="0"/>
    <x v="6"/>
    <x v="6"/>
    <x v="2"/>
    <x v="4"/>
    <n v="45"/>
    <x v="10"/>
  </r>
  <r>
    <s v="ORD-1067"/>
    <x v="59"/>
    <x v="1"/>
    <x v="2"/>
    <x v="8"/>
    <x v="1"/>
    <x v="3"/>
    <n v="250"/>
    <x v="7"/>
  </r>
  <r>
    <s v="ORD-1068"/>
    <x v="15"/>
    <x v="3"/>
    <x v="7"/>
    <x v="2"/>
    <x v="1"/>
    <x v="2"/>
    <n v="300"/>
    <x v="23"/>
  </r>
  <r>
    <s v="ORD-1069"/>
    <x v="10"/>
    <x v="1"/>
    <x v="1"/>
    <x v="5"/>
    <x v="0"/>
    <x v="2"/>
    <n v="500"/>
    <x v="5"/>
  </r>
  <r>
    <s v="ORD-1070"/>
    <x v="60"/>
    <x v="2"/>
    <x v="5"/>
    <x v="1"/>
    <x v="1"/>
    <x v="7"/>
    <n v="800"/>
    <x v="42"/>
  </r>
  <r>
    <s v="ORD-1071"/>
    <x v="61"/>
    <x v="2"/>
    <x v="5"/>
    <x v="0"/>
    <x v="0"/>
    <x v="1"/>
    <n v="350"/>
    <x v="28"/>
  </r>
  <r>
    <s v="ORD-1072"/>
    <x v="62"/>
    <x v="0"/>
    <x v="0"/>
    <x v="1"/>
    <x v="1"/>
    <x v="4"/>
    <n v="800"/>
    <x v="40"/>
  </r>
  <r>
    <s v="ORD-1073"/>
    <x v="41"/>
    <x v="3"/>
    <x v="7"/>
    <x v="5"/>
    <x v="0"/>
    <x v="1"/>
    <n v="500"/>
    <x v="19"/>
  </r>
  <r>
    <s v="ORD-1074"/>
    <x v="0"/>
    <x v="1"/>
    <x v="2"/>
    <x v="9"/>
    <x v="2"/>
    <x v="9"/>
    <n v="75"/>
    <x v="37"/>
  </r>
  <r>
    <s v="ORD-1075"/>
    <x v="63"/>
    <x v="2"/>
    <x v="3"/>
    <x v="4"/>
    <x v="1"/>
    <x v="9"/>
    <n v="450"/>
    <x v="43"/>
  </r>
  <r>
    <s v="ORD-1076"/>
    <x v="64"/>
    <x v="2"/>
    <x v="5"/>
    <x v="2"/>
    <x v="1"/>
    <x v="3"/>
    <n v="300"/>
    <x v="37"/>
  </r>
  <r>
    <s v="ORD-1077"/>
    <x v="65"/>
    <x v="3"/>
    <x v="7"/>
    <x v="1"/>
    <x v="1"/>
    <x v="1"/>
    <n v="800"/>
    <x v="44"/>
  </r>
  <r>
    <s v="ORD-1078"/>
    <x v="66"/>
    <x v="3"/>
    <x v="4"/>
    <x v="7"/>
    <x v="1"/>
    <x v="5"/>
    <n v="1200"/>
    <x v="43"/>
  </r>
  <r>
    <s v="ORD-1079"/>
    <x v="67"/>
    <x v="1"/>
    <x v="2"/>
    <x v="9"/>
    <x v="2"/>
    <x v="6"/>
    <n v="75"/>
    <x v="45"/>
  </r>
  <r>
    <s v="ORD-1080"/>
    <x v="68"/>
    <x v="2"/>
    <x v="3"/>
    <x v="3"/>
    <x v="2"/>
    <x v="5"/>
    <n v="120"/>
    <x v="46"/>
  </r>
  <r>
    <s v="ORD-1081"/>
    <x v="69"/>
    <x v="2"/>
    <x v="3"/>
    <x v="1"/>
    <x v="1"/>
    <x v="7"/>
    <n v="800"/>
    <x v="42"/>
  </r>
  <r>
    <s v="ORD-1082"/>
    <x v="70"/>
    <x v="1"/>
    <x v="1"/>
    <x v="4"/>
    <x v="1"/>
    <x v="5"/>
    <n v="450"/>
    <x v="16"/>
  </r>
  <r>
    <s v="ORD-1083"/>
    <x v="71"/>
    <x v="2"/>
    <x v="3"/>
    <x v="3"/>
    <x v="2"/>
    <x v="4"/>
    <n v="120"/>
    <x v="47"/>
  </r>
  <r>
    <s v="ORD-1084"/>
    <x v="72"/>
    <x v="0"/>
    <x v="6"/>
    <x v="0"/>
    <x v="0"/>
    <x v="8"/>
    <n v="350"/>
    <x v="48"/>
  </r>
  <r>
    <s v="ORD-1085"/>
    <x v="73"/>
    <x v="3"/>
    <x v="7"/>
    <x v="0"/>
    <x v="0"/>
    <x v="6"/>
    <n v="350"/>
    <x v="49"/>
  </r>
  <r>
    <s v="ORD-1086"/>
    <x v="60"/>
    <x v="1"/>
    <x v="1"/>
    <x v="4"/>
    <x v="1"/>
    <x v="9"/>
    <n v="450"/>
    <x v="43"/>
  </r>
  <r>
    <s v="ORD-1087"/>
    <x v="7"/>
    <x v="2"/>
    <x v="3"/>
    <x v="3"/>
    <x v="2"/>
    <x v="0"/>
    <n v="120"/>
    <x v="37"/>
  </r>
  <r>
    <s v="ORD-1088"/>
    <x v="74"/>
    <x v="3"/>
    <x v="7"/>
    <x v="6"/>
    <x v="2"/>
    <x v="6"/>
    <n v="45"/>
    <x v="14"/>
  </r>
  <r>
    <s v="ORD-1089"/>
    <x v="75"/>
    <x v="1"/>
    <x v="2"/>
    <x v="4"/>
    <x v="1"/>
    <x v="5"/>
    <n v="450"/>
    <x v="16"/>
  </r>
  <r>
    <s v="ORD-1090"/>
    <x v="76"/>
    <x v="0"/>
    <x v="0"/>
    <x v="8"/>
    <x v="1"/>
    <x v="7"/>
    <n v="250"/>
    <x v="0"/>
  </r>
  <r>
    <s v="ORD-1091"/>
    <x v="77"/>
    <x v="3"/>
    <x v="7"/>
    <x v="0"/>
    <x v="0"/>
    <x v="2"/>
    <n v="350"/>
    <x v="33"/>
  </r>
  <r>
    <s v="ORD-1092"/>
    <x v="78"/>
    <x v="3"/>
    <x v="4"/>
    <x v="0"/>
    <x v="0"/>
    <x v="4"/>
    <n v="350"/>
    <x v="50"/>
  </r>
  <r>
    <s v="ORD-1093"/>
    <x v="79"/>
    <x v="3"/>
    <x v="7"/>
    <x v="9"/>
    <x v="2"/>
    <x v="4"/>
    <n v="75"/>
    <x v="35"/>
  </r>
  <r>
    <s v="ORD-1094"/>
    <x v="80"/>
    <x v="3"/>
    <x v="7"/>
    <x v="1"/>
    <x v="1"/>
    <x v="0"/>
    <n v="800"/>
    <x v="1"/>
  </r>
  <r>
    <s v="ORD-1095"/>
    <x v="81"/>
    <x v="1"/>
    <x v="2"/>
    <x v="0"/>
    <x v="0"/>
    <x v="0"/>
    <n v="350"/>
    <x v="0"/>
  </r>
  <r>
    <s v="ORD-1096"/>
    <x v="82"/>
    <x v="2"/>
    <x v="3"/>
    <x v="3"/>
    <x v="2"/>
    <x v="1"/>
    <n v="120"/>
    <x v="8"/>
  </r>
  <r>
    <s v="ORD-1097"/>
    <x v="83"/>
    <x v="3"/>
    <x v="4"/>
    <x v="5"/>
    <x v="0"/>
    <x v="4"/>
    <n v="500"/>
    <x v="7"/>
  </r>
  <r>
    <s v="ORD-1098"/>
    <x v="84"/>
    <x v="0"/>
    <x v="0"/>
    <x v="0"/>
    <x v="0"/>
    <x v="1"/>
    <n v="350"/>
    <x v="28"/>
  </r>
  <r>
    <s v="ORD-1099"/>
    <x v="85"/>
    <x v="1"/>
    <x v="1"/>
    <x v="5"/>
    <x v="0"/>
    <x v="9"/>
    <n v="50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d v="2024-06-03T00:00:00"/>
    <x v="0"/>
    <x v="0"/>
    <x v="0"/>
    <x v="0"/>
    <n v="5"/>
    <n v="350"/>
    <n v="1750"/>
  </r>
  <r>
    <s v="ORD-1001"/>
    <d v="2024-06-09T00:00:00"/>
    <x v="1"/>
    <x v="1"/>
    <x v="1"/>
    <x v="1"/>
    <n v="5"/>
    <n v="800"/>
    <n v="4000"/>
  </r>
  <r>
    <s v="ORD-1002"/>
    <d v="2024-04-02T00:00:00"/>
    <x v="1"/>
    <x v="1"/>
    <x v="2"/>
    <x v="1"/>
    <n v="10"/>
    <n v="300"/>
    <n v="3000"/>
  </r>
  <r>
    <s v="ORD-1003"/>
    <d v="2024-04-23T00:00:00"/>
    <x v="1"/>
    <x v="2"/>
    <x v="3"/>
    <x v="2"/>
    <n v="9"/>
    <n v="120"/>
    <n v="1080"/>
  </r>
  <r>
    <s v="ORD-1004"/>
    <d v="2024-08-14T00:00:00"/>
    <x v="2"/>
    <x v="3"/>
    <x v="4"/>
    <x v="1"/>
    <n v="5"/>
    <n v="450"/>
    <n v="2250"/>
  </r>
  <r>
    <s v="ORD-1005"/>
    <d v="2024-09-25T00:00:00"/>
    <x v="3"/>
    <x v="4"/>
    <x v="5"/>
    <x v="0"/>
    <n v="9"/>
    <n v="500"/>
    <n v="4500"/>
  </r>
  <r>
    <s v="ORD-1006"/>
    <d v="2024-12-04T00:00:00"/>
    <x v="2"/>
    <x v="5"/>
    <x v="3"/>
    <x v="2"/>
    <n v="2"/>
    <n v="120"/>
    <n v="240"/>
  </r>
  <r>
    <s v="ORD-1007"/>
    <d v="2024-11-06T00:00:00"/>
    <x v="2"/>
    <x v="3"/>
    <x v="5"/>
    <x v="0"/>
    <n v="1"/>
    <n v="500"/>
    <n v="500"/>
  </r>
  <r>
    <s v="ORD-1008"/>
    <d v="2024-05-25T00:00:00"/>
    <x v="0"/>
    <x v="0"/>
    <x v="3"/>
    <x v="2"/>
    <n v="10"/>
    <n v="120"/>
    <n v="1200"/>
  </r>
  <r>
    <s v="ORD-1009"/>
    <d v="2024-05-18T00:00:00"/>
    <x v="0"/>
    <x v="0"/>
    <x v="1"/>
    <x v="1"/>
    <n v="9"/>
    <n v="800"/>
    <n v="7200"/>
  </r>
  <r>
    <s v="ORD-1010"/>
    <d v="2024-12-27T00:00:00"/>
    <x v="2"/>
    <x v="3"/>
    <x v="6"/>
    <x v="2"/>
    <n v="1"/>
    <n v="45"/>
    <n v="45"/>
  </r>
  <r>
    <s v="ORD-1011"/>
    <d v="2024-10-05T00:00:00"/>
    <x v="0"/>
    <x v="6"/>
    <x v="6"/>
    <x v="2"/>
    <n v="3"/>
    <n v="45"/>
    <n v="135"/>
  </r>
  <r>
    <s v="ORD-1012"/>
    <d v="2024-08-19T00:00:00"/>
    <x v="2"/>
    <x v="5"/>
    <x v="1"/>
    <x v="1"/>
    <n v="9"/>
    <n v="800"/>
    <n v="7200"/>
  </r>
  <r>
    <s v="ORD-1013"/>
    <d v="2024-02-18T00:00:00"/>
    <x v="1"/>
    <x v="2"/>
    <x v="5"/>
    <x v="0"/>
    <n v="3"/>
    <n v="500"/>
    <n v="1500"/>
  </r>
  <r>
    <s v="ORD-1014"/>
    <d v="2024-02-13T00:00:00"/>
    <x v="1"/>
    <x v="1"/>
    <x v="4"/>
    <x v="1"/>
    <n v="5"/>
    <n v="450"/>
    <n v="2250"/>
  </r>
  <r>
    <s v="ORD-1015"/>
    <d v="2024-02-25T00:00:00"/>
    <x v="3"/>
    <x v="7"/>
    <x v="7"/>
    <x v="1"/>
    <n v="4"/>
    <n v="1200"/>
    <n v="4800"/>
  </r>
  <r>
    <s v="ORD-1016"/>
    <d v="2024-01-16T00:00:00"/>
    <x v="1"/>
    <x v="2"/>
    <x v="8"/>
    <x v="1"/>
    <n v="2"/>
    <n v="250"/>
    <n v="500"/>
  </r>
  <r>
    <s v="ORD-1017"/>
    <d v="2024-01-05T00:00:00"/>
    <x v="1"/>
    <x v="2"/>
    <x v="6"/>
    <x v="2"/>
    <n v="4"/>
    <n v="45"/>
    <n v="180"/>
  </r>
  <r>
    <s v="ORD-1018"/>
    <d v="2024-08-31T00:00:00"/>
    <x v="1"/>
    <x v="2"/>
    <x v="6"/>
    <x v="2"/>
    <n v="7"/>
    <n v="45"/>
    <n v="315"/>
  </r>
  <r>
    <s v="ORD-1019"/>
    <d v="2024-03-29T00:00:00"/>
    <x v="2"/>
    <x v="5"/>
    <x v="4"/>
    <x v="1"/>
    <n v="3"/>
    <n v="450"/>
    <n v="1350"/>
  </r>
  <r>
    <s v="ORD-1020"/>
    <d v="2024-09-14T00:00:00"/>
    <x v="0"/>
    <x v="0"/>
    <x v="1"/>
    <x v="1"/>
    <n v="3"/>
    <n v="800"/>
    <n v="2400"/>
  </r>
  <r>
    <s v="ORD-1021"/>
    <d v="2024-08-06T00:00:00"/>
    <x v="3"/>
    <x v="7"/>
    <x v="6"/>
    <x v="2"/>
    <n v="5"/>
    <n v="45"/>
    <n v="225"/>
  </r>
  <r>
    <s v="ORD-1022"/>
    <d v="2024-12-11T00:00:00"/>
    <x v="1"/>
    <x v="1"/>
    <x v="5"/>
    <x v="0"/>
    <n v="10"/>
    <n v="500"/>
    <n v="5000"/>
  </r>
  <r>
    <s v="ORD-1023"/>
    <d v="2024-08-02T00:00:00"/>
    <x v="3"/>
    <x v="7"/>
    <x v="7"/>
    <x v="1"/>
    <n v="7"/>
    <n v="1200"/>
    <n v="8400"/>
  </r>
  <r>
    <s v="ORD-1024"/>
    <d v="2024-03-16T00:00:00"/>
    <x v="3"/>
    <x v="7"/>
    <x v="4"/>
    <x v="1"/>
    <n v="10"/>
    <n v="450"/>
    <n v="4500"/>
  </r>
  <r>
    <s v="ORD-1025"/>
    <d v="2024-11-26T00:00:00"/>
    <x v="3"/>
    <x v="4"/>
    <x v="7"/>
    <x v="1"/>
    <n v="6"/>
    <n v="1200"/>
    <n v="7200"/>
  </r>
  <r>
    <s v="ORD-1026"/>
    <d v="2024-08-19T00:00:00"/>
    <x v="1"/>
    <x v="1"/>
    <x v="3"/>
    <x v="2"/>
    <n v="6"/>
    <n v="120"/>
    <n v="720"/>
  </r>
  <r>
    <s v="ORD-1027"/>
    <d v="2024-03-23T00:00:00"/>
    <x v="1"/>
    <x v="1"/>
    <x v="3"/>
    <x v="2"/>
    <n v="4"/>
    <n v="120"/>
    <n v="480"/>
  </r>
  <r>
    <s v="ORD-1028"/>
    <d v="2024-02-12T00:00:00"/>
    <x v="1"/>
    <x v="2"/>
    <x v="1"/>
    <x v="1"/>
    <n v="5"/>
    <n v="800"/>
    <n v="4000"/>
  </r>
  <r>
    <s v="ORD-1029"/>
    <d v="2024-02-13T00:00:00"/>
    <x v="2"/>
    <x v="3"/>
    <x v="4"/>
    <x v="1"/>
    <n v="6"/>
    <n v="450"/>
    <n v="2700"/>
  </r>
  <r>
    <s v="ORD-1030"/>
    <d v="2024-01-12T00:00:00"/>
    <x v="1"/>
    <x v="2"/>
    <x v="6"/>
    <x v="2"/>
    <n v="10"/>
    <n v="45"/>
    <n v="450"/>
  </r>
  <r>
    <s v="ORD-1031"/>
    <d v="2024-10-31T00:00:00"/>
    <x v="1"/>
    <x v="1"/>
    <x v="1"/>
    <x v="1"/>
    <n v="2"/>
    <n v="800"/>
    <n v="1600"/>
  </r>
  <r>
    <s v="ORD-1032"/>
    <d v="2024-09-04T00:00:00"/>
    <x v="0"/>
    <x v="0"/>
    <x v="8"/>
    <x v="1"/>
    <n v="8"/>
    <n v="250"/>
    <n v="2000"/>
  </r>
  <r>
    <s v="ORD-1033"/>
    <d v="2024-12-14T00:00:00"/>
    <x v="3"/>
    <x v="7"/>
    <x v="7"/>
    <x v="1"/>
    <n v="5"/>
    <n v="1200"/>
    <n v="6000"/>
  </r>
  <r>
    <s v="ORD-1034"/>
    <d v="2024-01-23T00:00:00"/>
    <x v="0"/>
    <x v="0"/>
    <x v="0"/>
    <x v="0"/>
    <n v="10"/>
    <n v="350"/>
    <n v="3500"/>
  </r>
  <r>
    <s v="ORD-1035"/>
    <d v="2024-12-13T00:00:00"/>
    <x v="1"/>
    <x v="1"/>
    <x v="6"/>
    <x v="2"/>
    <n v="9"/>
    <n v="45"/>
    <n v="405"/>
  </r>
  <r>
    <s v="ORD-1036"/>
    <d v="2024-12-23T00:00:00"/>
    <x v="2"/>
    <x v="3"/>
    <x v="6"/>
    <x v="2"/>
    <n v="7"/>
    <n v="45"/>
    <n v="315"/>
  </r>
  <r>
    <s v="ORD-1037"/>
    <d v="2024-03-06T00:00:00"/>
    <x v="3"/>
    <x v="7"/>
    <x v="0"/>
    <x v="0"/>
    <n v="5"/>
    <n v="350"/>
    <n v="1750"/>
  </r>
  <r>
    <s v="ORD-1038"/>
    <d v="2024-07-01T00:00:00"/>
    <x v="0"/>
    <x v="0"/>
    <x v="7"/>
    <x v="1"/>
    <n v="10"/>
    <n v="1200"/>
    <n v="12000"/>
  </r>
  <r>
    <s v="ORD-1039"/>
    <d v="2024-07-05T00:00:00"/>
    <x v="0"/>
    <x v="6"/>
    <x v="7"/>
    <x v="1"/>
    <n v="6"/>
    <n v="1200"/>
    <n v="7200"/>
  </r>
  <r>
    <s v="ORD-1040"/>
    <d v="2024-03-31T00:00:00"/>
    <x v="2"/>
    <x v="5"/>
    <x v="4"/>
    <x v="1"/>
    <n v="5"/>
    <n v="450"/>
    <n v="2250"/>
  </r>
  <r>
    <s v="ORD-1041"/>
    <d v="2024-06-28T00:00:00"/>
    <x v="1"/>
    <x v="2"/>
    <x v="1"/>
    <x v="1"/>
    <n v="5"/>
    <n v="800"/>
    <n v="4000"/>
  </r>
  <r>
    <s v="ORD-1042"/>
    <d v="2024-05-17T00:00:00"/>
    <x v="3"/>
    <x v="7"/>
    <x v="9"/>
    <x v="2"/>
    <n v="3"/>
    <n v="75"/>
    <n v="225"/>
  </r>
  <r>
    <s v="ORD-1043"/>
    <d v="2024-04-12T00:00:00"/>
    <x v="0"/>
    <x v="6"/>
    <x v="6"/>
    <x v="2"/>
    <n v="6"/>
    <n v="45"/>
    <n v="270"/>
  </r>
  <r>
    <s v="ORD-1044"/>
    <d v="2024-09-02T00:00:00"/>
    <x v="2"/>
    <x v="3"/>
    <x v="0"/>
    <x v="0"/>
    <n v="8"/>
    <n v="350"/>
    <n v="2800"/>
  </r>
  <r>
    <s v="ORD-1045"/>
    <d v="2024-03-23T00:00:00"/>
    <x v="3"/>
    <x v="7"/>
    <x v="5"/>
    <x v="0"/>
    <n v="4"/>
    <n v="500"/>
    <n v="2000"/>
  </r>
  <r>
    <s v="ORD-1046"/>
    <d v="2024-05-19T00:00:00"/>
    <x v="2"/>
    <x v="3"/>
    <x v="7"/>
    <x v="1"/>
    <n v="2"/>
    <n v="1200"/>
    <n v="2400"/>
  </r>
  <r>
    <s v="ORD-1047"/>
    <d v="2024-11-30T00:00:00"/>
    <x v="1"/>
    <x v="2"/>
    <x v="4"/>
    <x v="1"/>
    <n v="7"/>
    <n v="450"/>
    <n v="3150"/>
  </r>
  <r>
    <s v="ORD-1048"/>
    <d v="2024-01-15T00:00:00"/>
    <x v="2"/>
    <x v="5"/>
    <x v="7"/>
    <x v="1"/>
    <n v="9"/>
    <n v="1200"/>
    <n v="10800"/>
  </r>
  <r>
    <s v="ORD-1049"/>
    <d v="2024-02-02T00:00:00"/>
    <x v="1"/>
    <x v="2"/>
    <x v="7"/>
    <x v="1"/>
    <n v="4"/>
    <n v="1200"/>
    <n v="4800"/>
  </r>
  <r>
    <s v="ORD-1050"/>
    <d v="2024-09-12T00:00:00"/>
    <x v="3"/>
    <x v="7"/>
    <x v="9"/>
    <x v="2"/>
    <n v="1"/>
    <n v="75"/>
    <n v="75"/>
  </r>
  <r>
    <s v="ORD-1051"/>
    <d v="2024-12-14T00:00:00"/>
    <x v="1"/>
    <x v="1"/>
    <x v="3"/>
    <x v="2"/>
    <n v="8"/>
    <n v="120"/>
    <n v="960"/>
  </r>
  <r>
    <s v="ORD-1052"/>
    <d v="2024-06-04T00:00:00"/>
    <x v="3"/>
    <x v="4"/>
    <x v="2"/>
    <x v="1"/>
    <n v="2"/>
    <n v="300"/>
    <n v="600"/>
  </r>
  <r>
    <s v="ORD-1053"/>
    <d v="2024-03-12T00:00:00"/>
    <x v="0"/>
    <x v="0"/>
    <x v="9"/>
    <x v="2"/>
    <n v="6"/>
    <n v="75"/>
    <n v="450"/>
  </r>
  <r>
    <s v="ORD-1054"/>
    <d v="2024-09-25T00:00:00"/>
    <x v="3"/>
    <x v="7"/>
    <x v="3"/>
    <x v="2"/>
    <n v="10"/>
    <n v="120"/>
    <n v="1200"/>
  </r>
  <r>
    <s v="ORD-1055"/>
    <d v="2024-08-01T00:00:00"/>
    <x v="1"/>
    <x v="2"/>
    <x v="1"/>
    <x v="1"/>
    <n v="6"/>
    <n v="800"/>
    <n v="4800"/>
  </r>
  <r>
    <s v="ORD-1056"/>
    <d v="2024-08-18T00:00:00"/>
    <x v="2"/>
    <x v="3"/>
    <x v="0"/>
    <x v="0"/>
    <n v="8"/>
    <n v="350"/>
    <n v="2800"/>
  </r>
  <r>
    <s v="ORD-1057"/>
    <d v="2024-06-12T00:00:00"/>
    <x v="1"/>
    <x v="1"/>
    <x v="9"/>
    <x v="2"/>
    <n v="10"/>
    <n v="75"/>
    <n v="750"/>
  </r>
  <r>
    <s v="ORD-1058"/>
    <d v="2024-07-09T00:00:00"/>
    <x v="2"/>
    <x v="5"/>
    <x v="0"/>
    <x v="0"/>
    <n v="7"/>
    <n v="350"/>
    <n v="2450"/>
  </r>
  <r>
    <s v="ORD-1059"/>
    <d v="2024-02-12T00:00:00"/>
    <x v="2"/>
    <x v="5"/>
    <x v="9"/>
    <x v="2"/>
    <n v="1"/>
    <n v="75"/>
    <n v="75"/>
  </r>
  <r>
    <s v="ORD-1060"/>
    <d v="2024-09-27T00:00:00"/>
    <x v="1"/>
    <x v="2"/>
    <x v="0"/>
    <x v="0"/>
    <n v="10"/>
    <n v="350"/>
    <n v="3500"/>
  </r>
  <r>
    <s v="ORD-1061"/>
    <d v="2024-06-12T00:00:00"/>
    <x v="1"/>
    <x v="1"/>
    <x v="8"/>
    <x v="1"/>
    <n v="2"/>
    <n v="250"/>
    <n v="500"/>
  </r>
  <r>
    <s v="ORD-1062"/>
    <d v="2024-05-11T00:00:00"/>
    <x v="1"/>
    <x v="1"/>
    <x v="1"/>
    <x v="1"/>
    <n v="1"/>
    <n v="800"/>
    <n v="800"/>
  </r>
  <r>
    <s v="ORD-1063"/>
    <d v="2024-06-28T00:00:00"/>
    <x v="1"/>
    <x v="2"/>
    <x v="2"/>
    <x v="1"/>
    <n v="2"/>
    <n v="300"/>
    <n v="600"/>
  </r>
  <r>
    <s v="ORD-1064"/>
    <d v="2024-04-19T00:00:00"/>
    <x v="3"/>
    <x v="4"/>
    <x v="4"/>
    <x v="1"/>
    <n v="9"/>
    <n v="450"/>
    <n v="4050"/>
  </r>
  <r>
    <s v="ORD-1065"/>
    <d v="2024-11-21T00:00:00"/>
    <x v="1"/>
    <x v="2"/>
    <x v="7"/>
    <x v="1"/>
    <n v="4"/>
    <n v="1200"/>
    <n v="4800"/>
  </r>
  <r>
    <s v="ORD-1066"/>
    <d v="2024-01-06T00:00:00"/>
    <x v="0"/>
    <x v="6"/>
    <x v="6"/>
    <x v="2"/>
    <n v="1"/>
    <n v="45"/>
    <n v="45"/>
  </r>
  <r>
    <s v="ORD-1067"/>
    <d v="2024-09-19T00:00:00"/>
    <x v="1"/>
    <x v="2"/>
    <x v="8"/>
    <x v="1"/>
    <n v="2"/>
    <n v="250"/>
    <n v="500"/>
  </r>
  <r>
    <s v="ORD-1068"/>
    <d v="2024-02-25T00:00:00"/>
    <x v="3"/>
    <x v="7"/>
    <x v="2"/>
    <x v="1"/>
    <n v="9"/>
    <n v="300"/>
    <n v="2700"/>
  </r>
  <r>
    <s v="ORD-1069"/>
    <d v="2024-12-27T00:00:00"/>
    <x v="1"/>
    <x v="1"/>
    <x v="5"/>
    <x v="0"/>
    <n v="9"/>
    <n v="500"/>
    <n v="4500"/>
  </r>
  <r>
    <s v="ORD-1070"/>
    <d v="2024-04-25T00:00:00"/>
    <x v="2"/>
    <x v="5"/>
    <x v="1"/>
    <x v="1"/>
    <n v="7"/>
    <n v="800"/>
    <n v="5600"/>
  </r>
  <r>
    <s v="ORD-1071"/>
    <d v="2024-07-26T00:00:00"/>
    <x v="2"/>
    <x v="5"/>
    <x v="0"/>
    <x v="0"/>
    <n v="10"/>
    <n v="350"/>
    <n v="3500"/>
  </r>
  <r>
    <s v="ORD-1072"/>
    <d v="2024-10-25T00:00:00"/>
    <x v="0"/>
    <x v="0"/>
    <x v="1"/>
    <x v="1"/>
    <n v="1"/>
    <n v="800"/>
    <n v="800"/>
  </r>
  <r>
    <s v="ORD-1073"/>
    <d v="2024-04-12T00:00:00"/>
    <x v="3"/>
    <x v="7"/>
    <x v="5"/>
    <x v="0"/>
    <n v="10"/>
    <n v="500"/>
    <n v="5000"/>
  </r>
  <r>
    <s v="ORD-1074"/>
    <d v="2024-06-03T00:00:00"/>
    <x v="1"/>
    <x v="2"/>
    <x v="9"/>
    <x v="2"/>
    <n v="8"/>
    <n v="75"/>
    <n v="600"/>
  </r>
  <r>
    <s v="ORD-1075"/>
    <d v="2024-03-17T00:00:00"/>
    <x v="2"/>
    <x v="3"/>
    <x v="4"/>
    <x v="1"/>
    <n v="8"/>
    <n v="450"/>
    <n v="3600"/>
  </r>
  <r>
    <s v="ORD-1076"/>
    <d v="2024-12-18T00:00:00"/>
    <x v="2"/>
    <x v="5"/>
    <x v="2"/>
    <x v="1"/>
    <n v="2"/>
    <n v="300"/>
    <n v="600"/>
  </r>
  <r>
    <s v="ORD-1077"/>
    <d v="2024-04-03T00:00:00"/>
    <x v="3"/>
    <x v="7"/>
    <x v="1"/>
    <x v="1"/>
    <n v="10"/>
    <n v="800"/>
    <n v="8000"/>
  </r>
  <r>
    <s v="ORD-1078"/>
    <d v="2024-10-06T00:00:00"/>
    <x v="3"/>
    <x v="4"/>
    <x v="7"/>
    <x v="1"/>
    <n v="3"/>
    <n v="1200"/>
    <n v="3600"/>
  </r>
  <r>
    <s v="ORD-1079"/>
    <d v="2024-12-02T00:00:00"/>
    <x v="1"/>
    <x v="2"/>
    <x v="9"/>
    <x v="2"/>
    <n v="4"/>
    <n v="75"/>
    <n v="300"/>
  </r>
  <r>
    <s v="ORD-1080"/>
    <d v="2024-08-24T00:00:00"/>
    <x v="2"/>
    <x v="3"/>
    <x v="3"/>
    <x v="2"/>
    <n v="3"/>
    <n v="120"/>
    <n v="360"/>
  </r>
  <r>
    <s v="ORD-1081"/>
    <d v="2024-10-16T00:00:00"/>
    <x v="2"/>
    <x v="3"/>
    <x v="1"/>
    <x v="1"/>
    <n v="7"/>
    <n v="800"/>
    <n v="5600"/>
  </r>
  <r>
    <s v="ORD-1082"/>
    <d v="2024-03-21T00:00:00"/>
    <x v="1"/>
    <x v="1"/>
    <x v="4"/>
    <x v="1"/>
    <n v="3"/>
    <n v="450"/>
    <n v="1350"/>
  </r>
  <r>
    <s v="ORD-1083"/>
    <d v="2024-10-30T00:00:00"/>
    <x v="2"/>
    <x v="3"/>
    <x v="3"/>
    <x v="2"/>
    <n v="1"/>
    <n v="120"/>
    <n v="120"/>
  </r>
  <r>
    <s v="ORD-1084"/>
    <d v="2024-04-01T00:00:00"/>
    <x v="0"/>
    <x v="6"/>
    <x v="0"/>
    <x v="0"/>
    <n v="6"/>
    <n v="350"/>
    <n v="2100"/>
  </r>
  <r>
    <s v="ORD-1085"/>
    <d v="2024-12-17T00:00:00"/>
    <x v="3"/>
    <x v="7"/>
    <x v="0"/>
    <x v="0"/>
    <n v="4"/>
    <n v="350"/>
    <n v="1400"/>
  </r>
  <r>
    <s v="ORD-1086"/>
    <d v="2024-04-25T00:00:00"/>
    <x v="1"/>
    <x v="1"/>
    <x v="4"/>
    <x v="1"/>
    <n v="8"/>
    <n v="450"/>
    <n v="3600"/>
  </r>
  <r>
    <s v="ORD-1087"/>
    <d v="2024-11-06T00:00:00"/>
    <x v="2"/>
    <x v="3"/>
    <x v="3"/>
    <x v="2"/>
    <n v="5"/>
    <n v="120"/>
    <n v="600"/>
  </r>
  <r>
    <s v="ORD-1088"/>
    <d v="2024-06-06T00:00:00"/>
    <x v="3"/>
    <x v="7"/>
    <x v="6"/>
    <x v="2"/>
    <n v="4"/>
    <n v="45"/>
    <n v="180"/>
  </r>
  <r>
    <s v="ORD-1089"/>
    <d v="2024-02-28T00:00:00"/>
    <x v="1"/>
    <x v="2"/>
    <x v="4"/>
    <x v="1"/>
    <n v="3"/>
    <n v="450"/>
    <n v="1350"/>
  </r>
  <r>
    <s v="ORD-1090"/>
    <d v="2024-01-27T00:00:00"/>
    <x v="0"/>
    <x v="0"/>
    <x v="8"/>
    <x v="1"/>
    <n v="7"/>
    <n v="250"/>
    <n v="1750"/>
  </r>
  <r>
    <s v="ORD-1091"/>
    <d v="2024-02-24T00:00:00"/>
    <x v="3"/>
    <x v="7"/>
    <x v="0"/>
    <x v="0"/>
    <n v="9"/>
    <n v="350"/>
    <n v="3150"/>
  </r>
  <r>
    <s v="ORD-1092"/>
    <d v="2024-12-06T00:00:00"/>
    <x v="3"/>
    <x v="4"/>
    <x v="0"/>
    <x v="0"/>
    <n v="1"/>
    <n v="350"/>
    <n v="350"/>
  </r>
  <r>
    <s v="ORD-1093"/>
    <d v="2024-02-23T00:00:00"/>
    <x v="3"/>
    <x v="7"/>
    <x v="9"/>
    <x v="2"/>
    <n v="1"/>
    <n v="75"/>
    <n v="75"/>
  </r>
  <r>
    <s v="ORD-1094"/>
    <d v="2024-02-15T00:00:00"/>
    <x v="3"/>
    <x v="7"/>
    <x v="1"/>
    <x v="1"/>
    <n v="5"/>
    <n v="800"/>
    <n v="4000"/>
  </r>
  <r>
    <s v="ORD-1095"/>
    <d v="2024-10-14T00:00:00"/>
    <x v="1"/>
    <x v="2"/>
    <x v="0"/>
    <x v="0"/>
    <n v="5"/>
    <n v="350"/>
    <n v="1750"/>
  </r>
  <r>
    <s v="ORD-1096"/>
    <d v="2024-09-08T00:00:00"/>
    <x v="2"/>
    <x v="3"/>
    <x v="3"/>
    <x v="2"/>
    <n v="10"/>
    <n v="120"/>
    <n v="1200"/>
  </r>
  <r>
    <s v="ORD-1097"/>
    <d v="2024-12-08T00:00:00"/>
    <x v="3"/>
    <x v="4"/>
    <x v="5"/>
    <x v="0"/>
    <n v="1"/>
    <n v="500"/>
    <n v="500"/>
  </r>
  <r>
    <s v="ORD-1098"/>
    <d v="2024-05-07T00:00:00"/>
    <x v="0"/>
    <x v="0"/>
    <x v="0"/>
    <x v="0"/>
    <n v="10"/>
    <n v="350"/>
    <n v="3500"/>
  </r>
  <r>
    <s v="ORD-1099"/>
    <d v="2024-04-07T00:00:00"/>
    <x v="1"/>
    <x v="1"/>
    <x v="5"/>
    <x v="0"/>
    <n v="8"/>
    <n v="500"/>
    <n v="4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d v="2024-06-03T00:00:00"/>
    <x v="0"/>
    <x v="0"/>
    <s v="Chair"/>
    <s v="Furniture"/>
    <n v="5"/>
    <n v="350"/>
    <n v="1750"/>
  </r>
  <r>
    <s v="ORD-1001"/>
    <d v="2024-06-09T00:00:00"/>
    <x v="1"/>
    <x v="1"/>
    <s v="Phone"/>
    <s v="Electronics"/>
    <n v="5"/>
    <n v="800"/>
    <n v="4000"/>
  </r>
  <r>
    <s v="ORD-1002"/>
    <d v="2024-04-02T00:00:00"/>
    <x v="1"/>
    <x v="1"/>
    <s v="Monitor"/>
    <s v="Electronics"/>
    <n v="10"/>
    <n v="300"/>
    <n v="3000"/>
  </r>
  <r>
    <s v="ORD-1003"/>
    <d v="2024-04-23T00:00:00"/>
    <x v="1"/>
    <x v="2"/>
    <s v="Headphones"/>
    <s v="Accessories"/>
    <n v="9"/>
    <n v="120"/>
    <n v="1080"/>
  </r>
  <r>
    <s v="ORD-1004"/>
    <d v="2024-08-14T00:00:00"/>
    <x v="2"/>
    <x v="3"/>
    <s v="Tablet"/>
    <s v="Electronics"/>
    <n v="5"/>
    <n v="450"/>
    <n v="2250"/>
  </r>
  <r>
    <s v="ORD-1005"/>
    <d v="2024-09-25T00:00:00"/>
    <x v="3"/>
    <x v="4"/>
    <s v="Desk"/>
    <s v="Furniture"/>
    <n v="9"/>
    <n v="500"/>
    <n v="4500"/>
  </r>
  <r>
    <s v="ORD-1006"/>
    <d v="2024-12-04T00:00:00"/>
    <x v="2"/>
    <x v="5"/>
    <s v="Headphones"/>
    <s v="Accessories"/>
    <n v="2"/>
    <n v="120"/>
    <n v="240"/>
  </r>
  <r>
    <s v="ORD-1007"/>
    <d v="2024-11-06T00:00:00"/>
    <x v="2"/>
    <x v="3"/>
    <s v="Desk"/>
    <s v="Furniture"/>
    <n v="1"/>
    <n v="500"/>
    <n v="500"/>
  </r>
  <r>
    <s v="ORD-1008"/>
    <d v="2024-05-25T00:00:00"/>
    <x v="0"/>
    <x v="0"/>
    <s v="Headphones"/>
    <s v="Accessories"/>
    <n v="10"/>
    <n v="120"/>
    <n v="1200"/>
  </r>
  <r>
    <s v="ORD-1009"/>
    <d v="2024-05-18T00:00:00"/>
    <x v="0"/>
    <x v="0"/>
    <s v="Phone"/>
    <s v="Electronics"/>
    <n v="9"/>
    <n v="800"/>
    <n v="7200"/>
  </r>
  <r>
    <s v="ORD-1010"/>
    <d v="2024-12-27T00:00:00"/>
    <x v="2"/>
    <x v="3"/>
    <s v="Mouse"/>
    <s v="Accessories"/>
    <n v="1"/>
    <n v="45"/>
    <n v="45"/>
  </r>
  <r>
    <s v="ORD-1011"/>
    <d v="2024-10-05T00:00:00"/>
    <x v="0"/>
    <x v="6"/>
    <s v="Mouse"/>
    <s v="Accessories"/>
    <n v="3"/>
    <n v="45"/>
    <n v="135"/>
  </r>
  <r>
    <s v="ORD-1012"/>
    <d v="2024-08-19T00:00:00"/>
    <x v="2"/>
    <x v="5"/>
    <s v="Phone"/>
    <s v="Electronics"/>
    <n v="9"/>
    <n v="800"/>
    <n v="7200"/>
  </r>
  <r>
    <s v="ORD-1013"/>
    <d v="2024-02-18T00:00:00"/>
    <x v="1"/>
    <x v="2"/>
    <s v="Desk"/>
    <s v="Furniture"/>
    <n v="3"/>
    <n v="500"/>
    <n v="1500"/>
  </r>
  <r>
    <s v="ORD-1014"/>
    <d v="2024-02-13T00:00:00"/>
    <x v="1"/>
    <x v="1"/>
    <s v="Tablet"/>
    <s v="Electronics"/>
    <n v="5"/>
    <n v="450"/>
    <n v="2250"/>
  </r>
  <r>
    <s v="ORD-1015"/>
    <d v="2024-02-25T00:00:00"/>
    <x v="3"/>
    <x v="7"/>
    <s v="Laptop"/>
    <s v="Electronics"/>
    <n v="4"/>
    <n v="1200"/>
    <n v="4800"/>
  </r>
  <r>
    <s v="ORD-1016"/>
    <d v="2024-01-16T00:00:00"/>
    <x v="1"/>
    <x v="2"/>
    <s v="Printer"/>
    <s v="Electronics"/>
    <n v="2"/>
    <n v="250"/>
    <n v="500"/>
  </r>
  <r>
    <s v="ORD-1017"/>
    <d v="2024-01-05T00:00:00"/>
    <x v="1"/>
    <x v="2"/>
    <s v="Mouse"/>
    <s v="Accessories"/>
    <n v="4"/>
    <n v="45"/>
    <n v="180"/>
  </r>
  <r>
    <s v="ORD-1018"/>
    <d v="2024-08-31T00:00:00"/>
    <x v="1"/>
    <x v="2"/>
    <s v="Mouse"/>
    <s v="Accessories"/>
    <n v="7"/>
    <n v="45"/>
    <n v="315"/>
  </r>
  <r>
    <s v="ORD-1019"/>
    <d v="2024-03-29T00:00:00"/>
    <x v="2"/>
    <x v="5"/>
    <s v="Tablet"/>
    <s v="Electronics"/>
    <n v="3"/>
    <n v="450"/>
    <n v="1350"/>
  </r>
  <r>
    <s v="ORD-1020"/>
    <d v="2024-09-14T00:00:00"/>
    <x v="0"/>
    <x v="0"/>
    <s v="Phone"/>
    <s v="Electronics"/>
    <n v="3"/>
    <n v="800"/>
    <n v="2400"/>
  </r>
  <r>
    <s v="ORD-1021"/>
    <d v="2024-08-06T00:00:00"/>
    <x v="3"/>
    <x v="7"/>
    <s v="Mouse"/>
    <s v="Accessories"/>
    <n v="5"/>
    <n v="45"/>
    <n v="225"/>
  </r>
  <r>
    <s v="ORD-1022"/>
    <d v="2024-12-11T00:00:00"/>
    <x v="1"/>
    <x v="1"/>
    <s v="Desk"/>
    <s v="Furniture"/>
    <n v="10"/>
    <n v="500"/>
    <n v="5000"/>
  </r>
  <r>
    <s v="ORD-1023"/>
    <d v="2024-08-02T00:00:00"/>
    <x v="3"/>
    <x v="7"/>
    <s v="Laptop"/>
    <s v="Electronics"/>
    <n v="7"/>
    <n v="1200"/>
    <n v="8400"/>
  </r>
  <r>
    <s v="ORD-1024"/>
    <d v="2024-03-16T00:00:00"/>
    <x v="3"/>
    <x v="7"/>
    <s v="Tablet"/>
    <s v="Electronics"/>
    <n v="10"/>
    <n v="450"/>
    <n v="4500"/>
  </r>
  <r>
    <s v="ORD-1025"/>
    <d v="2024-11-26T00:00:00"/>
    <x v="3"/>
    <x v="4"/>
    <s v="Laptop"/>
    <s v="Electronics"/>
    <n v="6"/>
    <n v="1200"/>
    <n v="7200"/>
  </r>
  <r>
    <s v="ORD-1026"/>
    <d v="2024-08-19T00:00:00"/>
    <x v="1"/>
    <x v="1"/>
    <s v="Headphones"/>
    <s v="Accessories"/>
    <n v="6"/>
    <n v="120"/>
    <n v="720"/>
  </r>
  <r>
    <s v="ORD-1027"/>
    <d v="2024-03-23T00:00:00"/>
    <x v="1"/>
    <x v="1"/>
    <s v="Headphones"/>
    <s v="Accessories"/>
    <n v="4"/>
    <n v="120"/>
    <n v="480"/>
  </r>
  <r>
    <s v="ORD-1028"/>
    <d v="2024-02-12T00:00:00"/>
    <x v="1"/>
    <x v="2"/>
    <s v="Phone"/>
    <s v="Electronics"/>
    <n v="5"/>
    <n v="800"/>
    <n v="4000"/>
  </r>
  <r>
    <s v="ORD-1029"/>
    <d v="2024-02-13T00:00:00"/>
    <x v="2"/>
    <x v="3"/>
    <s v="Tablet"/>
    <s v="Electronics"/>
    <n v="6"/>
    <n v="450"/>
    <n v="2700"/>
  </r>
  <r>
    <s v="ORD-1030"/>
    <d v="2024-01-12T00:00:00"/>
    <x v="1"/>
    <x v="2"/>
    <s v="Mouse"/>
    <s v="Accessories"/>
    <n v="10"/>
    <n v="45"/>
    <n v="450"/>
  </r>
  <r>
    <s v="ORD-1031"/>
    <d v="2024-10-31T00:00:00"/>
    <x v="1"/>
    <x v="1"/>
    <s v="Phone"/>
    <s v="Electronics"/>
    <n v="2"/>
    <n v="800"/>
    <n v="1600"/>
  </r>
  <r>
    <s v="ORD-1032"/>
    <d v="2024-09-04T00:00:00"/>
    <x v="0"/>
    <x v="0"/>
    <s v="Printer"/>
    <s v="Electronics"/>
    <n v="8"/>
    <n v="250"/>
    <n v="2000"/>
  </r>
  <r>
    <s v="ORD-1033"/>
    <d v="2024-12-14T00:00:00"/>
    <x v="3"/>
    <x v="7"/>
    <s v="Laptop"/>
    <s v="Electronics"/>
    <n v="5"/>
    <n v="1200"/>
    <n v="6000"/>
  </r>
  <r>
    <s v="ORD-1034"/>
    <d v="2024-01-23T00:00:00"/>
    <x v="0"/>
    <x v="0"/>
    <s v="Chair"/>
    <s v="Furniture"/>
    <n v="10"/>
    <n v="350"/>
    <n v="3500"/>
  </r>
  <r>
    <s v="ORD-1035"/>
    <d v="2024-12-13T00:00:00"/>
    <x v="1"/>
    <x v="1"/>
    <s v="Mouse"/>
    <s v="Accessories"/>
    <n v="9"/>
    <n v="45"/>
    <n v="405"/>
  </r>
  <r>
    <s v="ORD-1036"/>
    <d v="2024-12-23T00:00:00"/>
    <x v="2"/>
    <x v="3"/>
    <s v="Mouse"/>
    <s v="Accessories"/>
    <n v="7"/>
    <n v="45"/>
    <n v="315"/>
  </r>
  <r>
    <s v="ORD-1037"/>
    <d v="2024-03-06T00:00:00"/>
    <x v="3"/>
    <x v="7"/>
    <s v="Chair"/>
    <s v="Furniture"/>
    <n v="5"/>
    <n v="350"/>
    <n v="1750"/>
  </r>
  <r>
    <s v="ORD-1038"/>
    <d v="2024-07-01T00:00:00"/>
    <x v="0"/>
    <x v="0"/>
    <s v="Laptop"/>
    <s v="Electronics"/>
    <n v="10"/>
    <n v="1200"/>
    <n v="12000"/>
  </r>
  <r>
    <s v="ORD-1039"/>
    <d v="2024-07-05T00:00:00"/>
    <x v="0"/>
    <x v="6"/>
    <s v="Laptop"/>
    <s v="Electronics"/>
    <n v="6"/>
    <n v="1200"/>
    <n v="7200"/>
  </r>
  <r>
    <s v="ORD-1040"/>
    <d v="2024-03-31T00:00:00"/>
    <x v="2"/>
    <x v="5"/>
    <s v="Tablet"/>
    <s v="Electronics"/>
    <n v="5"/>
    <n v="450"/>
    <n v="2250"/>
  </r>
  <r>
    <s v="ORD-1041"/>
    <d v="2024-06-28T00:00:00"/>
    <x v="1"/>
    <x v="2"/>
    <s v="Phone"/>
    <s v="Electronics"/>
    <n v="5"/>
    <n v="800"/>
    <n v="4000"/>
  </r>
  <r>
    <s v="ORD-1042"/>
    <d v="2024-05-17T00:00:00"/>
    <x v="3"/>
    <x v="7"/>
    <s v="Keyboard"/>
    <s v="Accessories"/>
    <n v="3"/>
    <n v="75"/>
    <n v="225"/>
  </r>
  <r>
    <s v="ORD-1043"/>
    <d v="2024-04-12T00:00:00"/>
    <x v="0"/>
    <x v="6"/>
    <s v="Mouse"/>
    <s v="Accessories"/>
    <n v="6"/>
    <n v="45"/>
    <n v="270"/>
  </r>
  <r>
    <s v="ORD-1044"/>
    <d v="2024-09-02T00:00:00"/>
    <x v="2"/>
    <x v="3"/>
    <s v="Chair"/>
    <s v="Furniture"/>
    <n v="8"/>
    <n v="350"/>
    <n v="2800"/>
  </r>
  <r>
    <s v="ORD-1045"/>
    <d v="2024-03-23T00:00:00"/>
    <x v="3"/>
    <x v="7"/>
    <s v="Desk"/>
    <s v="Furniture"/>
    <n v="4"/>
    <n v="500"/>
    <n v="2000"/>
  </r>
  <r>
    <s v="ORD-1046"/>
    <d v="2024-05-19T00:00:00"/>
    <x v="2"/>
    <x v="3"/>
    <s v="Laptop"/>
    <s v="Electronics"/>
    <n v="2"/>
    <n v="1200"/>
    <n v="2400"/>
  </r>
  <r>
    <s v="ORD-1047"/>
    <d v="2024-11-30T00:00:00"/>
    <x v="1"/>
    <x v="2"/>
    <s v="Tablet"/>
    <s v="Electronics"/>
    <n v="7"/>
    <n v="450"/>
    <n v="3150"/>
  </r>
  <r>
    <s v="ORD-1048"/>
    <d v="2024-01-15T00:00:00"/>
    <x v="2"/>
    <x v="5"/>
    <s v="Laptop"/>
    <s v="Electronics"/>
    <n v="9"/>
    <n v="1200"/>
    <n v="10800"/>
  </r>
  <r>
    <s v="ORD-1049"/>
    <d v="2024-02-02T00:00:00"/>
    <x v="1"/>
    <x v="2"/>
    <s v="Laptop"/>
    <s v="Electronics"/>
    <n v="4"/>
    <n v="1200"/>
    <n v="4800"/>
  </r>
  <r>
    <s v="ORD-1050"/>
    <d v="2024-09-12T00:00:00"/>
    <x v="3"/>
    <x v="7"/>
    <s v="Keyboard"/>
    <s v="Accessories"/>
    <n v="1"/>
    <n v="75"/>
    <n v="75"/>
  </r>
  <r>
    <s v="ORD-1051"/>
    <d v="2024-12-14T00:00:00"/>
    <x v="1"/>
    <x v="1"/>
    <s v="Headphones"/>
    <s v="Accessories"/>
    <n v="8"/>
    <n v="120"/>
    <n v="960"/>
  </r>
  <r>
    <s v="ORD-1052"/>
    <d v="2024-06-04T00:00:00"/>
    <x v="3"/>
    <x v="4"/>
    <s v="Monitor"/>
    <s v="Electronics"/>
    <n v="2"/>
    <n v="300"/>
    <n v="600"/>
  </r>
  <r>
    <s v="ORD-1053"/>
    <d v="2024-03-12T00:00:00"/>
    <x v="0"/>
    <x v="0"/>
    <s v="Keyboard"/>
    <s v="Accessories"/>
    <n v="6"/>
    <n v="75"/>
    <n v="450"/>
  </r>
  <r>
    <s v="ORD-1054"/>
    <d v="2024-09-25T00:00:00"/>
    <x v="3"/>
    <x v="7"/>
    <s v="Headphones"/>
    <s v="Accessories"/>
    <n v="10"/>
    <n v="120"/>
    <n v="1200"/>
  </r>
  <r>
    <s v="ORD-1055"/>
    <d v="2024-08-01T00:00:00"/>
    <x v="1"/>
    <x v="2"/>
    <s v="Phone"/>
    <s v="Electronics"/>
    <n v="6"/>
    <n v="800"/>
    <n v="4800"/>
  </r>
  <r>
    <s v="ORD-1056"/>
    <d v="2024-08-18T00:00:00"/>
    <x v="2"/>
    <x v="3"/>
    <s v="Chair"/>
    <s v="Furniture"/>
    <n v="8"/>
    <n v="350"/>
    <n v="2800"/>
  </r>
  <r>
    <s v="ORD-1057"/>
    <d v="2024-06-12T00:00:00"/>
    <x v="1"/>
    <x v="1"/>
    <s v="Keyboard"/>
    <s v="Accessories"/>
    <n v="10"/>
    <n v="75"/>
    <n v="750"/>
  </r>
  <r>
    <s v="ORD-1058"/>
    <d v="2024-07-09T00:00:00"/>
    <x v="2"/>
    <x v="5"/>
    <s v="Chair"/>
    <s v="Furniture"/>
    <n v="7"/>
    <n v="350"/>
    <n v="2450"/>
  </r>
  <r>
    <s v="ORD-1059"/>
    <d v="2024-02-12T00:00:00"/>
    <x v="2"/>
    <x v="5"/>
    <s v="Keyboard"/>
    <s v="Accessories"/>
    <n v="1"/>
    <n v="75"/>
    <n v="75"/>
  </r>
  <r>
    <s v="ORD-1060"/>
    <d v="2024-09-27T00:00:00"/>
    <x v="1"/>
    <x v="2"/>
    <s v="Chair"/>
    <s v="Furniture"/>
    <n v="10"/>
    <n v="350"/>
    <n v="3500"/>
  </r>
  <r>
    <s v="ORD-1061"/>
    <d v="2024-06-12T00:00:00"/>
    <x v="1"/>
    <x v="1"/>
    <s v="Printer"/>
    <s v="Electronics"/>
    <n v="2"/>
    <n v="250"/>
    <n v="500"/>
  </r>
  <r>
    <s v="ORD-1062"/>
    <d v="2024-05-11T00:00:00"/>
    <x v="1"/>
    <x v="1"/>
    <s v="Phone"/>
    <s v="Electronics"/>
    <n v="1"/>
    <n v="800"/>
    <n v="800"/>
  </r>
  <r>
    <s v="ORD-1063"/>
    <d v="2024-06-28T00:00:00"/>
    <x v="1"/>
    <x v="2"/>
    <s v="Monitor"/>
    <s v="Electronics"/>
    <n v="2"/>
    <n v="300"/>
    <n v="600"/>
  </r>
  <r>
    <s v="ORD-1064"/>
    <d v="2024-04-19T00:00:00"/>
    <x v="3"/>
    <x v="4"/>
    <s v="Tablet"/>
    <s v="Electronics"/>
    <n v="9"/>
    <n v="450"/>
    <n v="4050"/>
  </r>
  <r>
    <s v="ORD-1065"/>
    <d v="2024-11-21T00:00:00"/>
    <x v="1"/>
    <x v="2"/>
    <s v="Laptop"/>
    <s v="Electronics"/>
    <n v="4"/>
    <n v="1200"/>
    <n v="4800"/>
  </r>
  <r>
    <s v="ORD-1066"/>
    <d v="2024-01-06T00:00:00"/>
    <x v="0"/>
    <x v="6"/>
    <s v="Mouse"/>
    <s v="Accessories"/>
    <n v="1"/>
    <n v="45"/>
    <n v="45"/>
  </r>
  <r>
    <s v="ORD-1067"/>
    <d v="2024-09-19T00:00:00"/>
    <x v="1"/>
    <x v="2"/>
    <s v="Printer"/>
    <s v="Electronics"/>
    <n v="2"/>
    <n v="250"/>
    <n v="500"/>
  </r>
  <r>
    <s v="ORD-1068"/>
    <d v="2024-02-25T00:00:00"/>
    <x v="3"/>
    <x v="7"/>
    <s v="Monitor"/>
    <s v="Electronics"/>
    <n v="9"/>
    <n v="300"/>
    <n v="2700"/>
  </r>
  <r>
    <s v="ORD-1069"/>
    <d v="2024-12-27T00:00:00"/>
    <x v="1"/>
    <x v="1"/>
    <s v="Desk"/>
    <s v="Furniture"/>
    <n v="9"/>
    <n v="500"/>
    <n v="4500"/>
  </r>
  <r>
    <s v="ORD-1070"/>
    <d v="2024-04-25T00:00:00"/>
    <x v="2"/>
    <x v="5"/>
    <s v="Phone"/>
    <s v="Electronics"/>
    <n v="7"/>
    <n v="800"/>
    <n v="5600"/>
  </r>
  <r>
    <s v="ORD-1071"/>
    <d v="2024-07-26T00:00:00"/>
    <x v="2"/>
    <x v="5"/>
    <s v="Chair"/>
    <s v="Furniture"/>
    <n v="10"/>
    <n v="350"/>
    <n v="3500"/>
  </r>
  <r>
    <s v="ORD-1072"/>
    <d v="2024-10-25T00:00:00"/>
    <x v="0"/>
    <x v="0"/>
    <s v="Phone"/>
    <s v="Electronics"/>
    <n v="1"/>
    <n v="800"/>
    <n v="800"/>
  </r>
  <r>
    <s v="ORD-1073"/>
    <d v="2024-04-12T00:00:00"/>
    <x v="3"/>
    <x v="7"/>
    <s v="Desk"/>
    <s v="Furniture"/>
    <n v="10"/>
    <n v="500"/>
    <n v="5000"/>
  </r>
  <r>
    <s v="ORD-1074"/>
    <d v="2024-06-03T00:00:00"/>
    <x v="1"/>
    <x v="2"/>
    <s v="Keyboard"/>
    <s v="Accessories"/>
    <n v="8"/>
    <n v="75"/>
    <n v="600"/>
  </r>
  <r>
    <s v="ORD-1075"/>
    <d v="2024-03-17T00:00:00"/>
    <x v="2"/>
    <x v="3"/>
    <s v="Tablet"/>
    <s v="Electronics"/>
    <n v="8"/>
    <n v="450"/>
    <n v="3600"/>
  </r>
  <r>
    <s v="ORD-1076"/>
    <d v="2024-12-18T00:00:00"/>
    <x v="2"/>
    <x v="5"/>
    <s v="Monitor"/>
    <s v="Electronics"/>
    <n v="2"/>
    <n v="300"/>
    <n v="600"/>
  </r>
  <r>
    <s v="ORD-1077"/>
    <d v="2024-04-03T00:00:00"/>
    <x v="3"/>
    <x v="7"/>
    <s v="Phone"/>
    <s v="Electronics"/>
    <n v="10"/>
    <n v="800"/>
    <n v="8000"/>
  </r>
  <r>
    <s v="ORD-1078"/>
    <d v="2024-10-06T00:00:00"/>
    <x v="3"/>
    <x v="4"/>
    <s v="Laptop"/>
    <s v="Electronics"/>
    <n v="3"/>
    <n v="1200"/>
    <n v="3600"/>
  </r>
  <r>
    <s v="ORD-1079"/>
    <d v="2024-12-02T00:00:00"/>
    <x v="1"/>
    <x v="2"/>
    <s v="Keyboard"/>
    <s v="Accessories"/>
    <n v="4"/>
    <n v="75"/>
    <n v="300"/>
  </r>
  <r>
    <s v="ORD-1080"/>
    <d v="2024-08-24T00:00:00"/>
    <x v="2"/>
    <x v="3"/>
    <s v="Headphones"/>
    <s v="Accessories"/>
    <n v="3"/>
    <n v="120"/>
    <n v="360"/>
  </r>
  <r>
    <s v="ORD-1081"/>
    <d v="2024-10-16T00:00:00"/>
    <x v="2"/>
    <x v="3"/>
    <s v="Phone"/>
    <s v="Electronics"/>
    <n v="7"/>
    <n v="800"/>
    <n v="5600"/>
  </r>
  <r>
    <s v="ORD-1082"/>
    <d v="2024-03-21T00:00:00"/>
    <x v="1"/>
    <x v="1"/>
    <s v="Tablet"/>
    <s v="Electronics"/>
    <n v="3"/>
    <n v="450"/>
    <n v="1350"/>
  </r>
  <r>
    <s v="ORD-1083"/>
    <d v="2024-10-30T00:00:00"/>
    <x v="2"/>
    <x v="3"/>
    <s v="Headphones"/>
    <s v="Accessories"/>
    <n v="1"/>
    <n v="120"/>
    <n v="120"/>
  </r>
  <r>
    <s v="ORD-1084"/>
    <d v="2024-04-01T00:00:00"/>
    <x v="0"/>
    <x v="6"/>
    <s v="Chair"/>
    <s v="Furniture"/>
    <n v="6"/>
    <n v="350"/>
    <n v="2100"/>
  </r>
  <r>
    <s v="ORD-1085"/>
    <d v="2024-12-17T00:00:00"/>
    <x v="3"/>
    <x v="7"/>
    <s v="Chair"/>
    <s v="Furniture"/>
    <n v="4"/>
    <n v="350"/>
    <n v="1400"/>
  </r>
  <r>
    <s v="ORD-1086"/>
    <d v="2024-04-25T00:00:00"/>
    <x v="1"/>
    <x v="1"/>
    <s v="Tablet"/>
    <s v="Electronics"/>
    <n v="8"/>
    <n v="450"/>
    <n v="3600"/>
  </r>
  <r>
    <s v="ORD-1087"/>
    <d v="2024-11-06T00:00:00"/>
    <x v="2"/>
    <x v="3"/>
    <s v="Headphones"/>
    <s v="Accessories"/>
    <n v="5"/>
    <n v="120"/>
    <n v="600"/>
  </r>
  <r>
    <s v="ORD-1088"/>
    <d v="2024-06-06T00:00:00"/>
    <x v="3"/>
    <x v="7"/>
    <s v="Mouse"/>
    <s v="Accessories"/>
    <n v="4"/>
    <n v="45"/>
    <n v="180"/>
  </r>
  <r>
    <s v="ORD-1089"/>
    <d v="2024-02-28T00:00:00"/>
    <x v="1"/>
    <x v="2"/>
    <s v="Tablet"/>
    <s v="Electronics"/>
    <n v="3"/>
    <n v="450"/>
    <n v="1350"/>
  </r>
  <r>
    <s v="ORD-1090"/>
    <d v="2024-01-27T00:00:00"/>
    <x v="0"/>
    <x v="0"/>
    <s v="Printer"/>
    <s v="Electronics"/>
    <n v="7"/>
    <n v="250"/>
    <n v="1750"/>
  </r>
  <r>
    <s v="ORD-1091"/>
    <d v="2024-02-24T00:00:00"/>
    <x v="3"/>
    <x v="7"/>
    <s v="Chair"/>
    <s v="Furniture"/>
    <n v="9"/>
    <n v="350"/>
    <n v="3150"/>
  </r>
  <r>
    <s v="ORD-1092"/>
    <d v="2024-12-06T00:00:00"/>
    <x v="3"/>
    <x v="4"/>
    <s v="Chair"/>
    <s v="Furniture"/>
    <n v="1"/>
    <n v="350"/>
    <n v="350"/>
  </r>
  <r>
    <s v="ORD-1093"/>
    <d v="2024-02-23T00:00:00"/>
    <x v="3"/>
    <x v="7"/>
    <s v="Keyboard"/>
    <s v="Accessories"/>
    <n v="1"/>
    <n v="75"/>
    <n v="75"/>
  </r>
  <r>
    <s v="ORD-1094"/>
    <d v="2024-02-15T00:00:00"/>
    <x v="3"/>
    <x v="7"/>
    <s v="Phone"/>
    <s v="Electronics"/>
    <n v="5"/>
    <n v="800"/>
    <n v="4000"/>
  </r>
  <r>
    <s v="ORD-1095"/>
    <d v="2024-10-14T00:00:00"/>
    <x v="1"/>
    <x v="2"/>
    <s v="Chair"/>
    <s v="Furniture"/>
    <n v="5"/>
    <n v="350"/>
    <n v="1750"/>
  </r>
  <r>
    <s v="ORD-1096"/>
    <d v="2024-09-08T00:00:00"/>
    <x v="2"/>
    <x v="3"/>
    <s v="Headphones"/>
    <s v="Accessories"/>
    <n v="10"/>
    <n v="120"/>
    <n v="1200"/>
  </r>
  <r>
    <s v="ORD-1097"/>
    <d v="2024-12-08T00:00:00"/>
    <x v="3"/>
    <x v="4"/>
    <s v="Desk"/>
    <s v="Furniture"/>
    <n v="1"/>
    <n v="500"/>
    <n v="500"/>
  </r>
  <r>
    <s v="ORD-1098"/>
    <d v="2024-05-07T00:00:00"/>
    <x v="0"/>
    <x v="0"/>
    <s v="Chair"/>
    <s v="Furniture"/>
    <n v="10"/>
    <n v="350"/>
    <n v="3500"/>
  </r>
  <r>
    <s v="ORD-1099"/>
    <d v="2024-04-07T00:00:00"/>
    <x v="1"/>
    <x v="1"/>
    <s v="Desk"/>
    <s v="Furniture"/>
    <n v="8"/>
    <n v="500"/>
    <n v="40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s v="Mike Brown"/>
    <x v="0"/>
    <x v="0"/>
    <x v="0"/>
    <x v="0"/>
    <x v="0"/>
  </r>
  <r>
    <x v="1"/>
    <x v="1"/>
    <x v="1"/>
    <s v="Sarah Johnson"/>
    <x v="1"/>
    <x v="1"/>
    <x v="0"/>
    <x v="1"/>
    <x v="1"/>
  </r>
  <r>
    <x v="2"/>
    <x v="2"/>
    <x v="1"/>
    <s v="Sarah Johnson"/>
    <x v="2"/>
    <x v="1"/>
    <x v="1"/>
    <x v="2"/>
    <x v="2"/>
  </r>
  <r>
    <x v="3"/>
    <x v="3"/>
    <x v="1"/>
    <s v="John Smith"/>
    <x v="3"/>
    <x v="2"/>
    <x v="2"/>
    <x v="3"/>
    <x v="3"/>
  </r>
  <r>
    <x v="4"/>
    <x v="4"/>
    <x v="2"/>
    <s v="Tom Anderson"/>
    <x v="4"/>
    <x v="1"/>
    <x v="0"/>
    <x v="4"/>
    <x v="4"/>
  </r>
  <r>
    <x v="5"/>
    <x v="5"/>
    <x v="3"/>
    <s v="David Wilson"/>
    <x v="5"/>
    <x v="0"/>
    <x v="2"/>
    <x v="5"/>
    <x v="5"/>
  </r>
  <r>
    <x v="6"/>
    <x v="6"/>
    <x v="2"/>
    <s v="Lisa Garcia"/>
    <x v="3"/>
    <x v="2"/>
    <x v="3"/>
    <x v="3"/>
    <x v="6"/>
  </r>
  <r>
    <x v="7"/>
    <x v="7"/>
    <x v="2"/>
    <s v="Tom Anderson"/>
    <x v="5"/>
    <x v="0"/>
    <x v="4"/>
    <x v="5"/>
    <x v="7"/>
  </r>
  <r>
    <x v="8"/>
    <x v="8"/>
    <x v="0"/>
    <s v="Mike Brown"/>
    <x v="3"/>
    <x v="2"/>
    <x v="1"/>
    <x v="3"/>
    <x v="8"/>
  </r>
  <r>
    <x v="9"/>
    <x v="9"/>
    <x v="0"/>
    <s v="Mike Brown"/>
    <x v="1"/>
    <x v="1"/>
    <x v="2"/>
    <x v="1"/>
    <x v="9"/>
  </r>
  <r>
    <x v="10"/>
    <x v="10"/>
    <x v="2"/>
    <s v="Tom Anderson"/>
    <x v="6"/>
    <x v="2"/>
    <x v="4"/>
    <x v="6"/>
    <x v="10"/>
  </r>
  <r>
    <x v="11"/>
    <x v="11"/>
    <x v="0"/>
    <s v="Anna Davis"/>
    <x v="6"/>
    <x v="2"/>
    <x v="5"/>
    <x v="6"/>
    <x v="11"/>
  </r>
  <r>
    <x v="12"/>
    <x v="12"/>
    <x v="2"/>
    <s v="Lisa Garcia"/>
    <x v="1"/>
    <x v="1"/>
    <x v="2"/>
    <x v="1"/>
    <x v="9"/>
  </r>
  <r>
    <x v="13"/>
    <x v="13"/>
    <x v="1"/>
    <s v="John Smith"/>
    <x v="5"/>
    <x v="0"/>
    <x v="5"/>
    <x v="5"/>
    <x v="12"/>
  </r>
  <r>
    <x v="14"/>
    <x v="14"/>
    <x v="1"/>
    <s v="Sarah Johnson"/>
    <x v="4"/>
    <x v="1"/>
    <x v="0"/>
    <x v="4"/>
    <x v="4"/>
  </r>
  <r>
    <x v="15"/>
    <x v="15"/>
    <x v="3"/>
    <s v="Emma Taylor"/>
    <x v="7"/>
    <x v="1"/>
    <x v="6"/>
    <x v="7"/>
    <x v="13"/>
  </r>
  <r>
    <x v="16"/>
    <x v="16"/>
    <x v="1"/>
    <s v="John Smith"/>
    <x v="8"/>
    <x v="1"/>
    <x v="3"/>
    <x v="8"/>
    <x v="7"/>
  </r>
  <r>
    <x v="17"/>
    <x v="17"/>
    <x v="1"/>
    <s v="John Smith"/>
    <x v="6"/>
    <x v="2"/>
    <x v="6"/>
    <x v="6"/>
    <x v="14"/>
  </r>
  <r>
    <x v="18"/>
    <x v="18"/>
    <x v="1"/>
    <s v="John Smith"/>
    <x v="6"/>
    <x v="2"/>
    <x v="7"/>
    <x v="6"/>
    <x v="15"/>
  </r>
  <r>
    <x v="19"/>
    <x v="19"/>
    <x v="2"/>
    <s v="Lisa Garcia"/>
    <x v="4"/>
    <x v="1"/>
    <x v="5"/>
    <x v="4"/>
    <x v="16"/>
  </r>
  <r>
    <x v="20"/>
    <x v="20"/>
    <x v="0"/>
    <s v="Mike Brown"/>
    <x v="1"/>
    <x v="1"/>
    <x v="5"/>
    <x v="1"/>
    <x v="17"/>
  </r>
  <r>
    <x v="21"/>
    <x v="21"/>
    <x v="3"/>
    <s v="Emma Taylor"/>
    <x v="6"/>
    <x v="2"/>
    <x v="0"/>
    <x v="6"/>
    <x v="18"/>
  </r>
  <r>
    <x v="22"/>
    <x v="22"/>
    <x v="1"/>
    <s v="Sarah Johnson"/>
    <x v="5"/>
    <x v="0"/>
    <x v="1"/>
    <x v="5"/>
    <x v="19"/>
  </r>
  <r>
    <x v="23"/>
    <x v="23"/>
    <x v="3"/>
    <s v="Emma Taylor"/>
    <x v="7"/>
    <x v="1"/>
    <x v="7"/>
    <x v="7"/>
    <x v="20"/>
  </r>
  <r>
    <x v="24"/>
    <x v="24"/>
    <x v="3"/>
    <s v="Emma Taylor"/>
    <x v="4"/>
    <x v="1"/>
    <x v="1"/>
    <x v="4"/>
    <x v="5"/>
  </r>
  <r>
    <x v="25"/>
    <x v="25"/>
    <x v="3"/>
    <s v="David Wilson"/>
    <x v="7"/>
    <x v="1"/>
    <x v="8"/>
    <x v="7"/>
    <x v="9"/>
  </r>
  <r>
    <x v="26"/>
    <x v="12"/>
    <x v="1"/>
    <s v="Sarah Johnson"/>
    <x v="3"/>
    <x v="2"/>
    <x v="8"/>
    <x v="3"/>
    <x v="21"/>
  </r>
  <r>
    <x v="27"/>
    <x v="26"/>
    <x v="1"/>
    <s v="Sarah Johnson"/>
    <x v="3"/>
    <x v="2"/>
    <x v="6"/>
    <x v="3"/>
    <x v="22"/>
  </r>
  <r>
    <x v="28"/>
    <x v="27"/>
    <x v="1"/>
    <s v="John Smith"/>
    <x v="1"/>
    <x v="1"/>
    <x v="0"/>
    <x v="1"/>
    <x v="1"/>
  </r>
  <r>
    <x v="29"/>
    <x v="14"/>
    <x v="2"/>
    <s v="Tom Anderson"/>
    <x v="4"/>
    <x v="1"/>
    <x v="8"/>
    <x v="4"/>
    <x v="23"/>
  </r>
  <r>
    <x v="30"/>
    <x v="28"/>
    <x v="1"/>
    <s v="John Smith"/>
    <x v="6"/>
    <x v="2"/>
    <x v="1"/>
    <x v="6"/>
    <x v="24"/>
  </r>
  <r>
    <x v="31"/>
    <x v="29"/>
    <x v="1"/>
    <s v="Sarah Johnson"/>
    <x v="1"/>
    <x v="1"/>
    <x v="3"/>
    <x v="1"/>
    <x v="25"/>
  </r>
  <r>
    <x v="32"/>
    <x v="30"/>
    <x v="0"/>
    <s v="Mike Brown"/>
    <x v="8"/>
    <x v="1"/>
    <x v="9"/>
    <x v="8"/>
    <x v="26"/>
  </r>
  <r>
    <x v="33"/>
    <x v="31"/>
    <x v="3"/>
    <s v="Emma Taylor"/>
    <x v="7"/>
    <x v="1"/>
    <x v="0"/>
    <x v="7"/>
    <x v="27"/>
  </r>
  <r>
    <x v="34"/>
    <x v="32"/>
    <x v="0"/>
    <s v="Mike Brown"/>
    <x v="0"/>
    <x v="0"/>
    <x v="1"/>
    <x v="0"/>
    <x v="28"/>
  </r>
  <r>
    <x v="35"/>
    <x v="33"/>
    <x v="1"/>
    <s v="Sarah Johnson"/>
    <x v="6"/>
    <x v="2"/>
    <x v="2"/>
    <x v="6"/>
    <x v="29"/>
  </r>
  <r>
    <x v="36"/>
    <x v="34"/>
    <x v="2"/>
    <s v="Tom Anderson"/>
    <x v="6"/>
    <x v="2"/>
    <x v="7"/>
    <x v="6"/>
    <x v="15"/>
  </r>
  <r>
    <x v="37"/>
    <x v="35"/>
    <x v="3"/>
    <s v="Emma Taylor"/>
    <x v="0"/>
    <x v="0"/>
    <x v="0"/>
    <x v="0"/>
    <x v="0"/>
  </r>
  <r>
    <x v="38"/>
    <x v="36"/>
    <x v="0"/>
    <s v="Mike Brown"/>
    <x v="7"/>
    <x v="1"/>
    <x v="1"/>
    <x v="7"/>
    <x v="30"/>
  </r>
  <r>
    <x v="39"/>
    <x v="37"/>
    <x v="0"/>
    <s v="Anna Davis"/>
    <x v="7"/>
    <x v="1"/>
    <x v="8"/>
    <x v="7"/>
    <x v="9"/>
  </r>
  <r>
    <x v="40"/>
    <x v="38"/>
    <x v="2"/>
    <s v="Lisa Garcia"/>
    <x v="4"/>
    <x v="1"/>
    <x v="0"/>
    <x v="4"/>
    <x v="4"/>
  </r>
  <r>
    <x v="41"/>
    <x v="39"/>
    <x v="1"/>
    <s v="John Smith"/>
    <x v="1"/>
    <x v="1"/>
    <x v="0"/>
    <x v="1"/>
    <x v="1"/>
  </r>
  <r>
    <x v="42"/>
    <x v="40"/>
    <x v="3"/>
    <s v="Emma Taylor"/>
    <x v="9"/>
    <x v="2"/>
    <x v="5"/>
    <x v="9"/>
    <x v="18"/>
  </r>
  <r>
    <x v="43"/>
    <x v="41"/>
    <x v="0"/>
    <s v="Anna Davis"/>
    <x v="6"/>
    <x v="2"/>
    <x v="8"/>
    <x v="6"/>
    <x v="31"/>
  </r>
  <r>
    <x v="44"/>
    <x v="42"/>
    <x v="2"/>
    <s v="Tom Anderson"/>
    <x v="0"/>
    <x v="0"/>
    <x v="9"/>
    <x v="0"/>
    <x v="32"/>
  </r>
  <r>
    <x v="45"/>
    <x v="26"/>
    <x v="3"/>
    <s v="Emma Taylor"/>
    <x v="5"/>
    <x v="0"/>
    <x v="6"/>
    <x v="5"/>
    <x v="26"/>
  </r>
  <r>
    <x v="46"/>
    <x v="43"/>
    <x v="2"/>
    <s v="Tom Anderson"/>
    <x v="7"/>
    <x v="1"/>
    <x v="3"/>
    <x v="7"/>
    <x v="17"/>
  </r>
  <r>
    <x v="47"/>
    <x v="44"/>
    <x v="1"/>
    <s v="John Smith"/>
    <x v="4"/>
    <x v="1"/>
    <x v="7"/>
    <x v="4"/>
    <x v="33"/>
  </r>
  <r>
    <x v="48"/>
    <x v="45"/>
    <x v="2"/>
    <s v="Lisa Garcia"/>
    <x v="7"/>
    <x v="1"/>
    <x v="2"/>
    <x v="7"/>
    <x v="34"/>
  </r>
  <r>
    <x v="49"/>
    <x v="46"/>
    <x v="1"/>
    <s v="John Smith"/>
    <x v="7"/>
    <x v="1"/>
    <x v="6"/>
    <x v="7"/>
    <x v="13"/>
  </r>
  <r>
    <x v="50"/>
    <x v="47"/>
    <x v="3"/>
    <s v="Emma Taylor"/>
    <x v="9"/>
    <x v="2"/>
    <x v="4"/>
    <x v="9"/>
    <x v="35"/>
  </r>
  <r>
    <x v="51"/>
    <x v="31"/>
    <x v="1"/>
    <s v="Sarah Johnson"/>
    <x v="3"/>
    <x v="2"/>
    <x v="9"/>
    <x v="3"/>
    <x v="36"/>
  </r>
  <r>
    <x v="52"/>
    <x v="48"/>
    <x v="3"/>
    <s v="David Wilson"/>
    <x v="2"/>
    <x v="1"/>
    <x v="3"/>
    <x v="2"/>
    <x v="37"/>
  </r>
  <r>
    <x v="53"/>
    <x v="49"/>
    <x v="0"/>
    <s v="Mike Brown"/>
    <x v="9"/>
    <x v="2"/>
    <x v="8"/>
    <x v="9"/>
    <x v="24"/>
  </r>
  <r>
    <x v="54"/>
    <x v="5"/>
    <x v="3"/>
    <s v="Emma Taylor"/>
    <x v="3"/>
    <x v="2"/>
    <x v="1"/>
    <x v="3"/>
    <x v="8"/>
  </r>
  <r>
    <x v="55"/>
    <x v="50"/>
    <x v="1"/>
    <s v="John Smith"/>
    <x v="1"/>
    <x v="1"/>
    <x v="8"/>
    <x v="1"/>
    <x v="13"/>
  </r>
  <r>
    <x v="56"/>
    <x v="51"/>
    <x v="2"/>
    <s v="Tom Anderson"/>
    <x v="0"/>
    <x v="0"/>
    <x v="9"/>
    <x v="0"/>
    <x v="32"/>
  </r>
  <r>
    <x v="57"/>
    <x v="52"/>
    <x v="1"/>
    <s v="Sarah Johnson"/>
    <x v="9"/>
    <x v="2"/>
    <x v="1"/>
    <x v="9"/>
    <x v="38"/>
  </r>
  <r>
    <x v="58"/>
    <x v="53"/>
    <x v="2"/>
    <s v="Lisa Garcia"/>
    <x v="0"/>
    <x v="0"/>
    <x v="7"/>
    <x v="0"/>
    <x v="39"/>
  </r>
  <r>
    <x v="59"/>
    <x v="27"/>
    <x v="2"/>
    <s v="Lisa Garcia"/>
    <x v="9"/>
    <x v="2"/>
    <x v="4"/>
    <x v="9"/>
    <x v="35"/>
  </r>
  <r>
    <x v="60"/>
    <x v="54"/>
    <x v="1"/>
    <s v="John Smith"/>
    <x v="0"/>
    <x v="0"/>
    <x v="1"/>
    <x v="0"/>
    <x v="28"/>
  </r>
  <r>
    <x v="61"/>
    <x v="52"/>
    <x v="1"/>
    <s v="Sarah Johnson"/>
    <x v="8"/>
    <x v="1"/>
    <x v="3"/>
    <x v="8"/>
    <x v="7"/>
  </r>
  <r>
    <x v="62"/>
    <x v="55"/>
    <x v="1"/>
    <s v="Sarah Johnson"/>
    <x v="1"/>
    <x v="1"/>
    <x v="4"/>
    <x v="1"/>
    <x v="40"/>
  </r>
  <r>
    <x v="63"/>
    <x v="39"/>
    <x v="1"/>
    <s v="John Smith"/>
    <x v="2"/>
    <x v="1"/>
    <x v="3"/>
    <x v="2"/>
    <x v="37"/>
  </r>
  <r>
    <x v="64"/>
    <x v="56"/>
    <x v="3"/>
    <s v="David Wilson"/>
    <x v="4"/>
    <x v="1"/>
    <x v="2"/>
    <x v="4"/>
    <x v="41"/>
  </r>
  <r>
    <x v="65"/>
    <x v="57"/>
    <x v="1"/>
    <s v="John Smith"/>
    <x v="7"/>
    <x v="1"/>
    <x v="6"/>
    <x v="7"/>
    <x v="13"/>
  </r>
  <r>
    <x v="66"/>
    <x v="58"/>
    <x v="0"/>
    <s v="Anna Davis"/>
    <x v="6"/>
    <x v="2"/>
    <x v="4"/>
    <x v="6"/>
    <x v="10"/>
  </r>
  <r>
    <x v="67"/>
    <x v="59"/>
    <x v="1"/>
    <s v="John Smith"/>
    <x v="8"/>
    <x v="1"/>
    <x v="3"/>
    <x v="8"/>
    <x v="7"/>
  </r>
  <r>
    <x v="68"/>
    <x v="15"/>
    <x v="3"/>
    <s v="Emma Taylor"/>
    <x v="2"/>
    <x v="1"/>
    <x v="2"/>
    <x v="2"/>
    <x v="23"/>
  </r>
  <r>
    <x v="69"/>
    <x v="10"/>
    <x v="1"/>
    <s v="Sarah Johnson"/>
    <x v="5"/>
    <x v="0"/>
    <x v="2"/>
    <x v="5"/>
    <x v="5"/>
  </r>
  <r>
    <x v="70"/>
    <x v="60"/>
    <x v="2"/>
    <s v="Lisa Garcia"/>
    <x v="1"/>
    <x v="1"/>
    <x v="7"/>
    <x v="1"/>
    <x v="42"/>
  </r>
  <r>
    <x v="71"/>
    <x v="61"/>
    <x v="2"/>
    <s v="Lisa Garcia"/>
    <x v="0"/>
    <x v="0"/>
    <x v="1"/>
    <x v="0"/>
    <x v="28"/>
  </r>
  <r>
    <x v="72"/>
    <x v="62"/>
    <x v="0"/>
    <s v="Mike Brown"/>
    <x v="1"/>
    <x v="1"/>
    <x v="4"/>
    <x v="1"/>
    <x v="40"/>
  </r>
  <r>
    <x v="73"/>
    <x v="41"/>
    <x v="3"/>
    <s v="Emma Taylor"/>
    <x v="5"/>
    <x v="0"/>
    <x v="1"/>
    <x v="5"/>
    <x v="19"/>
  </r>
  <r>
    <x v="74"/>
    <x v="0"/>
    <x v="1"/>
    <s v="John Smith"/>
    <x v="9"/>
    <x v="2"/>
    <x v="9"/>
    <x v="9"/>
    <x v="37"/>
  </r>
  <r>
    <x v="75"/>
    <x v="63"/>
    <x v="2"/>
    <s v="Tom Anderson"/>
    <x v="4"/>
    <x v="1"/>
    <x v="9"/>
    <x v="4"/>
    <x v="43"/>
  </r>
  <r>
    <x v="76"/>
    <x v="64"/>
    <x v="2"/>
    <s v="Lisa Garcia"/>
    <x v="2"/>
    <x v="1"/>
    <x v="3"/>
    <x v="2"/>
    <x v="37"/>
  </r>
  <r>
    <x v="77"/>
    <x v="65"/>
    <x v="3"/>
    <s v="Emma Taylor"/>
    <x v="1"/>
    <x v="1"/>
    <x v="1"/>
    <x v="1"/>
    <x v="44"/>
  </r>
  <r>
    <x v="78"/>
    <x v="66"/>
    <x v="3"/>
    <s v="David Wilson"/>
    <x v="7"/>
    <x v="1"/>
    <x v="5"/>
    <x v="7"/>
    <x v="43"/>
  </r>
  <r>
    <x v="79"/>
    <x v="67"/>
    <x v="1"/>
    <s v="John Smith"/>
    <x v="9"/>
    <x v="2"/>
    <x v="6"/>
    <x v="9"/>
    <x v="45"/>
  </r>
  <r>
    <x v="80"/>
    <x v="68"/>
    <x v="2"/>
    <s v="Tom Anderson"/>
    <x v="3"/>
    <x v="2"/>
    <x v="5"/>
    <x v="3"/>
    <x v="46"/>
  </r>
  <r>
    <x v="81"/>
    <x v="69"/>
    <x v="2"/>
    <s v="Tom Anderson"/>
    <x v="1"/>
    <x v="1"/>
    <x v="7"/>
    <x v="1"/>
    <x v="42"/>
  </r>
  <r>
    <x v="82"/>
    <x v="70"/>
    <x v="1"/>
    <s v="Sarah Johnson"/>
    <x v="4"/>
    <x v="1"/>
    <x v="5"/>
    <x v="4"/>
    <x v="16"/>
  </r>
  <r>
    <x v="83"/>
    <x v="71"/>
    <x v="2"/>
    <s v="Tom Anderson"/>
    <x v="3"/>
    <x v="2"/>
    <x v="4"/>
    <x v="3"/>
    <x v="47"/>
  </r>
  <r>
    <x v="84"/>
    <x v="72"/>
    <x v="0"/>
    <s v="Anna Davis"/>
    <x v="0"/>
    <x v="0"/>
    <x v="8"/>
    <x v="0"/>
    <x v="48"/>
  </r>
  <r>
    <x v="85"/>
    <x v="73"/>
    <x v="3"/>
    <s v="Emma Taylor"/>
    <x v="0"/>
    <x v="0"/>
    <x v="6"/>
    <x v="0"/>
    <x v="49"/>
  </r>
  <r>
    <x v="86"/>
    <x v="60"/>
    <x v="1"/>
    <s v="Sarah Johnson"/>
    <x v="4"/>
    <x v="1"/>
    <x v="9"/>
    <x v="4"/>
    <x v="43"/>
  </r>
  <r>
    <x v="87"/>
    <x v="7"/>
    <x v="2"/>
    <s v="Tom Anderson"/>
    <x v="3"/>
    <x v="2"/>
    <x v="0"/>
    <x v="3"/>
    <x v="37"/>
  </r>
  <r>
    <x v="88"/>
    <x v="74"/>
    <x v="3"/>
    <s v="Emma Taylor"/>
    <x v="6"/>
    <x v="2"/>
    <x v="6"/>
    <x v="6"/>
    <x v="14"/>
  </r>
  <r>
    <x v="89"/>
    <x v="75"/>
    <x v="1"/>
    <s v="John Smith"/>
    <x v="4"/>
    <x v="1"/>
    <x v="5"/>
    <x v="4"/>
    <x v="16"/>
  </r>
  <r>
    <x v="90"/>
    <x v="76"/>
    <x v="0"/>
    <s v="Mike Brown"/>
    <x v="8"/>
    <x v="1"/>
    <x v="7"/>
    <x v="8"/>
    <x v="0"/>
  </r>
  <r>
    <x v="91"/>
    <x v="77"/>
    <x v="3"/>
    <s v="Emma Taylor"/>
    <x v="0"/>
    <x v="0"/>
    <x v="2"/>
    <x v="0"/>
    <x v="33"/>
  </r>
  <r>
    <x v="92"/>
    <x v="78"/>
    <x v="3"/>
    <s v="David Wilson"/>
    <x v="0"/>
    <x v="0"/>
    <x v="4"/>
    <x v="0"/>
    <x v="50"/>
  </r>
  <r>
    <x v="93"/>
    <x v="79"/>
    <x v="3"/>
    <s v="Emma Taylor"/>
    <x v="9"/>
    <x v="2"/>
    <x v="4"/>
    <x v="9"/>
    <x v="35"/>
  </r>
  <r>
    <x v="94"/>
    <x v="80"/>
    <x v="3"/>
    <s v="Emma Taylor"/>
    <x v="1"/>
    <x v="1"/>
    <x v="0"/>
    <x v="1"/>
    <x v="1"/>
  </r>
  <r>
    <x v="95"/>
    <x v="81"/>
    <x v="1"/>
    <s v="John Smith"/>
    <x v="0"/>
    <x v="0"/>
    <x v="0"/>
    <x v="0"/>
    <x v="0"/>
  </r>
  <r>
    <x v="96"/>
    <x v="82"/>
    <x v="2"/>
    <s v="Tom Anderson"/>
    <x v="3"/>
    <x v="2"/>
    <x v="1"/>
    <x v="3"/>
    <x v="8"/>
  </r>
  <r>
    <x v="97"/>
    <x v="83"/>
    <x v="3"/>
    <s v="David Wilson"/>
    <x v="5"/>
    <x v="0"/>
    <x v="4"/>
    <x v="5"/>
    <x v="7"/>
  </r>
  <r>
    <x v="98"/>
    <x v="84"/>
    <x v="0"/>
    <s v="Mike Brown"/>
    <x v="0"/>
    <x v="0"/>
    <x v="1"/>
    <x v="0"/>
    <x v="28"/>
  </r>
  <r>
    <x v="99"/>
    <x v="85"/>
    <x v="1"/>
    <s v="Sarah Johnson"/>
    <x v="5"/>
    <x v="0"/>
    <x v="9"/>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D15FF1-7004-4733-BD8E-4E83716C4BDD}" name="Total Sales for each region per Dat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CV1:CW46" firstHeaderRow="1" firstDataRow="1" firstDataCol="1"/>
  <pivotFields count="11">
    <pivotField showAll="0"/>
    <pivotField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axis="axisRow" showAll="0">
      <items count="5">
        <item x="3"/>
        <item x="1"/>
        <item x="0"/>
        <item x="2"/>
        <item t="default"/>
      </items>
    </pivotField>
    <pivotField showAll="0">
      <items count="9">
        <item x="6"/>
        <item x="4"/>
        <item x="7"/>
        <item x="2"/>
        <item x="5"/>
        <item x="0"/>
        <item x="1"/>
        <item x="3"/>
        <item t="default"/>
      </items>
    </pivotField>
    <pivotField showAll="0">
      <items count="11">
        <item x="0"/>
        <item x="5"/>
        <item x="3"/>
        <item x="9"/>
        <item x="7"/>
        <item x="2"/>
        <item x="6"/>
        <item x="1"/>
        <item x="8"/>
        <item x="4"/>
        <item t="default"/>
      </items>
    </pivotField>
    <pivotField showAll="0">
      <items count="4">
        <item x="2"/>
        <item x="1"/>
        <item x="0"/>
        <item t="default"/>
      </items>
    </pivotField>
    <pivotField showAll="0">
      <items count="11">
        <item x="4"/>
        <item x="3"/>
        <item x="5"/>
        <item x="6"/>
        <item x="0"/>
        <item x="8"/>
        <item x="7"/>
        <item x="9"/>
        <item x="2"/>
        <item x="1"/>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2">
    <field x="2"/>
    <field x="10"/>
  </rowFields>
  <rowItems count="45">
    <i>
      <x/>
    </i>
    <i r="1">
      <x v="2"/>
    </i>
    <i r="1">
      <x v="3"/>
    </i>
    <i r="1">
      <x v="4"/>
    </i>
    <i r="1">
      <x v="5"/>
    </i>
    <i r="1">
      <x v="6"/>
    </i>
    <i r="1">
      <x v="8"/>
    </i>
    <i r="1">
      <x v="9"/>
    </i>
    <i r="1">
      <x v="10"/>
    </i>
    <i r="1">
      <x v="11"/>
    </i>
    <i r="1">
      <x v="12"/>
    </i>
    <i>
      <x v="1"/>
    </i>
    <i r="1">
      <x v="1"/>
    </i>
    <i r="1">
      <x v="2"/>
    </i>
    <i r="1">
      <x v="3"/>
    </i>
    <i r="1">
      <x v="4"/>
    </i>
    <i r="1">
      <x v="5"/>
    </i>
    <i r="1">
      <x v="6"/>
    </i>
    <i r="1">
      <x v="8"/>
    </i>
    <i r="1">
      <x v="9"/>
    </i>
    <i r="1">
      <x v="10"/>
    </i>
    <i r="1">
      <x v="11"/>
    </i>
    <i r="1">
      <x v="12"/>
    </i>
    <i>
      <x v="2"/>
    </i>
    <i r="1">
      <x v="1"/>
    </i>
    <i r="1">
      <x v="3"/>
    </i>
    <i r="1">
      <x v="4"/>
    </i>
    <i r="1">
      <x v="5"/>
    </i>
    <i r="1">
      <x v="6"/>
    </i>
    <i r="1">
      <x v="7"/>
    </i>
    <i r="1">
      <x v="9"/>
    </i>
    <i r="1">
      <x v="10"/>
    </i>
    <i>
      <x v="3"/>
    </i>
    <i r="1">
      <x v="1"/>
    </i>
    <i r="1">
      <x v="2"/>
    </i>
    <i r="1">
      <x v="3"/>
    </i>
    <i r="1">
      <x v="4"/>
    </i>
    <i r="1">
      <x v="5"/>
    </i>
    <i r="1">
      <x v="7"/>
    </i>
    <i r="1">
      <x v="8"/>
    </i>
    <i r="1">
      <x v="9"/>
    </i>
    <i r="1">
      <x v="10"/>
    </i>
    <i r="1">
      <x v="11"/>
    </i>
    <i r="1">
      <x v="12"/>
    </i>
    <i t="grand">
      <x/>
    </i>
  </rowItems>
  <colItems count="1">
    <i/>
  </colItems>
  <dataFields count="1">
    <dataField name="Sum of Total Sales" fld="8" baseField="0" baseItem="0" numFmtId="164"/>
  </dataFields>
  <formats count="11">
    <format>
      <pivotArea type="all" dataOnly="0" outline="0"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outline="0" axis="axisValues" fieldPosition="0"/>
    </format>
    <format>
      <pivotArea type="all" dataOnly="0" outline="0"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outline="0" axis="axisValues" fieldPosition="0"/>
    </format>
    <format dxfId="0">
      <pivotArea outline="0" collapsedLevelsAreSubtotals="1" fieldPosition="0"/>
    </format>
  </formats>
  <chartFormats count="1">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D95481-45F6-4363-8B3C-E8A9294A9ABA}" name="Quantity  per catego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AW1:AX4" firstHeaderRow="1" firstDataRow="1" firstDataCol="1"/>
  <pivotFields count="11">
    <pivotField showAll="0"/>
    <pivotField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x="3"/>
        <item x="1"/>
        <item x="0"/>
        <item x="2"/>
        <item t="default"/>
      </items>
    </pivotField>
    <pivotField showAll="0"/>
    <pivotField axis="axisRow" showAll="0">
      <items count="11">
        <item x="0"/>
        <item x="5"/>
        <item x="3"/>
        <item x="9"/>
        <item x="7"/>
        <item x="2"/>
        <item x="6"/>
        <item x="1"/>
        <item x="8"/>
        <item x="4"/>
        <item t="default"/>
      </items>
    </pivotField>
    <pivotField axis="axisRow" showAll="0">
      <items count="4">
        <item sd="0" x="2"/>
        <item sd="0" x="1"/>
        <item sd="0" x="0"/>
        <item t="default" sd="0"/>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5"/>
    <field x="4"/>
  </rowFields>
  <rowItems count="3">
    <i>
      <x/>
    </i>
    <i>
      <x v="1"/>
    </i>
    <i>
      <x v="2"/>
    </i>
  </rowItems>
  <colItems count="1">
    <i/>
  </colItems>
  <dataFields count="1">
    <dataField name="Sum of Quantity" fld="6" baseField="0" baseItem="0"/>
  </dataFields>
  <formats count="11">
    <format>
      <pivotArea outline="0" collapsedLevelsAreSubtotals="1" fieldPosition="0"/>
    </format>
    <format>
      <pivotArea type="all" dataOnly="0" outline="0" fieldPosition="0"/>
    </format>
    <format>
      <pivotArea outline="0" collapsedLevelsAreSubtotals="1" fieldPosition="0"/>
    </format>
    <format>
      <pivotArea field="5" type="button" dataOnly="0" labelOnly="1" outline="0" axis="axisRow" fieldPosition="0"/>
    </format>
    <format>
      <pivotArea dataOnly="0" labelOnly="1" fieldPosition="0">
        <references count="1">
          <reference field="5" count="0"/>
        </references>
      </pivotArea>
    </format>
    <format>
      <pivotArea dataOnly="0" labelOnly="1" outline="0" axis="axisValues" fieldPosition="0"/>
    </format>
    <format>
      <pivotArea type="all" dataOnly="0" outline="0" fieldPosition="0"/>
    </format>
    <format>
      <pivotArea outline="0" collapsedLevelsAreSubtotals="1" fieldPosition="0"/>
    </format>
    <format>
      <pivotArea field="5" type="button" dataOnly="0" labelOnly="1" outline="0" axis="axisRow" fieldPosition="0"/>
    </format>
    <format>
      <pivotArea dataOnly="0" labelOnly="1" fieldPosition="0">
        <references count="1">
          <reference field="5" count="0"/>
        </references>
      </pivotArea>
    </format>
    <format>
      <pivotArea dataOnly="0" labelOnly="1" outline="0" axis="axisValues" fieldPosition="0"/>
    </format>
  </formats>
  <chartFormats count="9">
    <chartFormat chart="8" format="0" series="1">
      <pivotArea type="data" outline="0" fieldPosition="0">
        <references count="1">
          <reference field="4294967294" count="1" selected="0">
            <x v="0"/>
          </reference>
        </references>
      </pivotArea>
    </chartFormat>
    <chartFormat chart="39" format="16" series="1">
      <pivotArea type="data" outline="0" fieldPosition="0">
        <references count="1">
          <reference field="4294967294" count="1" selected="0">
            <x v="0"/>
          </reference>
        </references>
      </pivotArea>
    </chartFormat>
    <chartFormat chart="39" format="17">
      <pivotArea type="data" outline="0" fieldPosition="0">
        <references count="2">
          <reference field="4294967294" count="1" selected="0">
            <x v="0"/>
          </reference>
          <reference field="5" count="1" selected="0">
            <x v="0"/>
          </reference>
        </references>
      </pivotArea>
    </chartFormat>
    <chartFormat chart="39" format="18">
      <pivotArea type="data" outline="0" fieldPosition="0">
        <references count="2">
          <reference field="4294967294" count="1" selected="0">
            <x v="0"/>
          </reference>
          <reference field="5" count="1" selected="0">
            <x v="1"/>
          </reference>
        </references>
      </pivotArea>
    </chartFormat>
    <chartFormat chart="39" format="19">
      <pivotArea type="data" outline="0" fieldPosition="0">
        <references count="2">
          <reference field="4294967294" count="1" selected="0">
            <x v="0"/>
          </reference>
          <reference field="5" count="1" selected="0">
            <x v="2"/>
          </reference>
        </references>
      </pivotArea>
    </chartFormat>
    <chartFormat chart="43" format="24" series="1">
      <pivotArea type="data" outline="0" fieldPosition="0">
        <references count="1">
          <reference field="4294967294" count="1" selected="0">
            <x v="0"/>
          </reference>
        </references>
      </pivotArea>
    </chartFormat>
    <chartFormat chart="43" format="25">
      <pivotArea type="data" outline="0" fieldPosition="0">
        <references count="2">
          <reference field="4294967294" count="1" selected="0">
            <x v="0"/>
          </reference>
          <reference field="5" count="1" selected="0">
            <x v="0"/>
          </reference>
        </references>
      </pivotArea>
    </chartFormat>
    <chartFormat chart="43" format="26">
      <pivotArea type="data" outline="0" fieldPosition="0">
        <references count="2">
          <reference field="4294967294" count="1" selected="0">
            <x v="0"/>
          </reference>
          <reference field="5" count="1" selected="0">
            <x v="1"/>
          </reference>
        </references>
      </pivotArea>
    </chartFormat>
    <chartFormat chart="43" format="27">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2F8759-F6CB-49E7-9216-594DE7ED391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H1:CK6" firstHeaderRow="0" firstDataRow="1" firstDataCol="1"/>
  <pivotFields count="9">
    <pivotField dataField="1" showAll="0"/>
    <pivotField showAll="0"/>
    <pivotField axis="axisRow" showAll="0">
      <items count="5">
        <item sd="0" x="3"/>
        <item sd="0" x="1"/>
        <item sd="0" x="0"/>
        <item sd="0" x="2"/>
        <item t="default" sd="0"/>
      </items>
    </pivotField>
    <pivotField axis="axisRow" showAll="0">
      <items count="9">
        <item x="6"/>
        <item x="4"/>
        <item x="7"/>
        <item x="2"/>
        <item x="5"/>
        <item x="0"/>
        <item x="1"/>
        <item x="3"/>
        <item t="default"/>
      </items>
    </pivotField>
    <pivotField showAll="0"/>
    <pivotField showAll="0"/>
    <pivotField dataField="1" showAll="0"/>
    <pivotField dataField="1" showAll="0"/>
    <pivotField showAll="0"/>
  </pivotFields>
  <rowFields count="2">
    <field x="2"/>
    <field x="3"/>
  </rowFields>
  <rowItems count="5">
    <i>
      <x/>
    </i>
    <i>
      <x v="1"/>
    </i>
    <i>
      <x v="2"/>
    </i>
    <i>
      <x v="3"/>
    </i>
    <i t="grand">
      <x/>
    </i>
  </rowItems>
  <colFields count="1">
    <field x="-2"/>
  </colFields>
  <colItems count="3">
    <i>
      <x/>
    </i>
    <i i="1">
      <x v="1"/>
    </i>
    <i i="2">
      <x v="2"/>
    </i>
  </colItems>
  <dataFields count="3">
    <dataField name="Count of Order ID" fld="0" subtotal="count" baseField="0" baseItem="0"/>
    <dataField name="Sum of Unit Price" fld="7" baseField="0" baseItem="0"/>
    <dataField name="Sum of Quantity" fld="6" baseField="0" baseItem="0"/>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204881-BF17-496D-949A-07EB91C232B2}" name="Total Sales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BC2:BD6" firstHeaderRow="1" firstDataRow="1" firstDataCol="1"/>
  <pivotFields count="11">
    <pivotField showAll="0"/>
    <pivotField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x="3"/>
        <item x="1"/>
        <item x="0"/>
        <item x="2"/>
        <item t="default"/>
      </items>
    </pivotField>
    <pivotField showAll="0"/>
    <pivotField showAll="0">
      <items count="11">
        <item x="0"/>
        <item x="5"/>
        <item x="3"/>
        <item x="9"/>
        <item x="7"/>
        <item x="2"/>
        <item x="6"/>
        <item x="1"/>
        <item x="8"/>
        <item x="4"/>
        <item t="default"/>
      </items>
    </pivotField>
    <pivotField axis="axisRow" showAll="0">
      <items count="4">
        <item sd="0" x="2"/>
        <item sd="0" x="1"/>
        <item sd="0" x="0"/>
        <item t="default" sd="0"/>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Sum of Total Sales" fld="8" baseField="0" baseItem="0" numFmtId="164"/>
  </dataFields>
  <formats count="9">
    <format>
      <pivotArea type="all" dataOnly="0" outline="0" fieldPosition="0"/>
    </format>
    <format>
      <pivotArea field="5" type="button" dataOnly="0" labelOnly="1" outline="0" axis="axisRow" fieldPosition="0"/>
    </format>
    <format>
      <pivotArea dataOnly="0" labelOnly="1" fieldPosition="0">
        <references count="1">
          <reference field="5" count="0"/>
        </references>
      </pivotArea>
    </format>
    <format>
      <pivotArea dataOnly="0" labelOnly="1" outline="0" axis="axisValues" fieldPosition="0"/>
    </format>
    <format>
      <pivotArea type="all" dataOnly="0" outline="0" fieldPosition="0"/>
    </format>
    <format>
      <pivotArea field="5" type="button" dataOnly="0" labelOnly="1" outline="0" axis="axisRow" fieldPosition="0"/>
    </format>
    <format>
      <pivotArea dataOnly="0" labelOnly="1" fieldPosition="0">
        <references count="1">
          <reference field="5" count="0"/>
        </references>
      </pivotArea>
    </format>
    <format>
      <pivotArea dataOnly="0" labelOnly="1" outline="0" axis="axisValues" fieldPosition="0"/>
    </format>
    <format dxfId="2">
      <pivotArea outline="0" collapsedLevelsAreSubtotals="1" fieldPosition="0"/>
    </format>
  </formats>
  <chartFormats count="2">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3CFA96-68B6-4578-BC63-C433704F8050}" name="count of order and total sales prodc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N1:CP12" firstHeaderRow="0" firstDataRow="1" firstDataCol="1"/>
  <pivotFields count="11">
    <pivotField dataField="1" subtotalTop="0" showAll="0"/>
    <pivotField subtotalTop="0"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ubtotalTop="0" showAll="0">
      <items count="5">
        <item x="3"/>
        <item x="1"/>
        <item x="0"/>
        <item x="2"/>
        <item t="default"/>
      </items>
    </pivotField>
    <pivotField subtotalTop="0" showAll="0"/>
    <pivotField axis="axisRow" subtotalTop="0" showAll="0">
      <items count="11">
        <item x="0"/>
        <item x="5"/>
        <item x="3"/>
        <item x="9"/>
        <item x="7"/>
        <item x="2"/>
        <item x="6"/>
        <item x="1"/>
        <item x="8"/>
        <item x="4"/>
        <item t="default"/>
      </items>
    </pivotField>
    <pivotField subtotalTop="0" showAll="0">
      <items count="4">
        <item x="2"/>
        <item x="1"/>
        <item x="0"/>
        <item t="default" sd="0"/>
      </items>
    </pivotField>
    <pivotField subtotalTop="0" showAll="0"/>
    <pivotField subtotalTop="0" showAll="0">
      <items count="11">
        <item x="6"/>
        <item x="9"/>
        <item x="3"/>
        <item x="8"/>
        <item x="2"/>
        <item x="0"/>
        <item x="4"/>
        <item x="5"/>
        <item x="1"/>
        <item x="7"/>
        <item t="default"/>
      </items>
    </pivotField>
    <pivotField dataField="1" subtotalTop="0" showAll="0"/>
    <pivotField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ubtotalTop="0" showAll="0">
      <items count="15">
        <item x="0"/>
        <item x="1"/>
        <item x="2"/>
        <item x="3"/>
        <item x="4"/>
        <item x="5"/>
        <item x="6"/>
        <item x="7"/>
        <item x="8"/>
        <item x="9"/>
        <item x="10"/>
        <item x="11"/>
        <item x="12"/>
        <item x="13"/>
        <item t="default"/>
      </items>
    </pivotField>
  </pivotFields>
  <rowFields count="1">
    <field x="4"/>
  </rowFields>
  <rowItems count="11">
    <i>
      <x/>
    </i>
    <i>
      <x v="1"/>
    </i>
    <i>
      <x v="2"/>
    </i>
    <i>
      <x v="3"/>
    </i>
    <i>
      <x v="4"/>
    </i>
    <i>
      <x v="5"/>
    </i>
    <i>
      <x v="6"/>
    </i>
    <i>
      <x v="7"/>
    </i>
    <i>
      <x v="8"/>
    </i>
    <i>
      <x v="9"/>
    </i>
    <i t="grand">
      <x/>
    </i>
  </rowItems>
  <colFields count="1">
    <field x="-2"/>
  </colFields>
  <colItems count="2">
    <i>
      <x/>
    </i>
    <i i="1">
      <x v="1"/>
    </i>
  </colItems>
  <dataFields count="2">
    <dataField name="Count of Order ID" fld="0" subtotal="count" baseField="0" baseItem="0"/>
    <dataField name="Sum of Total Sales" fld="8" baseField="4" baseItem="0" numFmtId="10">
      <extLst>
        <ext xmlns:x14="http://schemas.microsoft.com/office/spreadsheetml/2009/9/main" uri="{E15A36E0-9728-4e99-A89B-3F7291B0FE68}">
          <x14:dataField pivotShowAs="percentOfParentRow"/>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6A5550-6AEA-48D4-9201-25F892B5E512}" name="Sum Of Q per Regu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N1:O6" firstHeaderRow="1" firstDataRow="1" firstDataCol="1"/>
  <pivotFields count="11">
    <pivotField showAll="0"/>
    <pivotField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axis="axisRow" showAll="0">
      <items count="5">
        <item x="3"/>
        <item x="1"/>
        <item x="0"/>
        <item x="2"/>
        <item t="default"/>
      </items>
    </pivotField>
    <pivotField showAll="0">
      <items count="9">
        <item x="6"/>
        <item h="1" x="4"/>
        <item h="1" x="7"/>
        <item h="1" x="2"/>
        <item h="1" x="5"/>
        <item h="1" x="0"/>
        <item h="1" x="1"/>
        <item h="1" x="3"/>
        <item t="default"/>
      </items>
    </pivotField>
    <pivotField showAll="0"/>
    <pivotField showAll="0">
      <items count="4">
        <item x="2"/>
        <item x="1"/>
        <item x="0"/>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6" baseField="0" baseItem="0"/>
  </dataFields>
  <formats count="13">
    <format>
      <pivotArea outline="0" collapsedLevelsAreSubtotals="1" fieldPosition="0"/>
    </format>
    <format>
      <pivotArea type="all" dataOnly="0" outline="0" fieldPosition="0"/>
    </format>
    <format>
      <pivotArea outline="0" collapsedLevelsAreSubtotals="1"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outline="0" axis="axisValues" fieldPosition="0"/>
    </format>
    <format>
      <pivotArea type="all" dataOnly="0" outline="0" fieldPosition="0"/>
    </format>
    <format>
      <pivotArea outline="0" collapsedLevelsAreSubtotals="1"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outline="0" axis="axisValues" fieldPosition="0"/>
    </format>
  </formats>
  <chartFormats count="10">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2" count="1" selected="0">
            <x v="0"/>
          </reference>
        </references>
      </pivotArea>
    </chartFormat>
    <chartFormat chart="20" format="12">
      <pivotArea type="data" outline="0" fieldPosition="0">
        <references count="2">
          <reference field="4294967294" count="1" selected="0">
            <x v="0"/>
          </reference>
          <reference field="2" count="1" selected="0">
            <x v="1"/>
          </reference>
        </references>
      </pivotArea>
    </chartFormat>
    <chartFormat chart="20" format="13">
      <pivotArea type="data" outline="0" fieldPosition="0">
        <references count="2">
          <reference field="4294967294" count="1" selected="0">
            <x v="0"/>
          </reference>
          <reference field="2" count="1" selected="0">
            <x v="2"/>
          </reference>
        </references>
      </pivotArea>
    </chartFormat>
    <chartFormat chart="20" format="14">
      <pivotArea type="data" outline="0" fieldPosition="0">
        <references count="2">
          <reference field="4294967294" count="1" selected="0">
            <x v="0"/>
          </reference>
          <reference field="2" count="1" selected="0">
            <x v="3"/>
          </reference>
        </references>
      </pivotArea>
    </chartFormat>
    <chartFormat chart="29" format="30" series="1">
      <pivotArea type="data" outline="0" fieldPosition="0">
        <references count="1">
          <reference field="4294967294" count="1" selected="0">
            <x v="0"/>
          </reference>
        </references>
      </pivotArea>
    </chartFormat>
    <chartFormat chart="29" format="31">
      <pivotArea type="data" outline="0" fieldPosition="0">
        <references count="2">
          <reference field="4294967294" count="1" selected="0">
            <x v="0"/>
          </reference>
          <reference field="2" count="1" selected="0">
            <x v="0"/>
          </reference>
        </references>
      </pivotArea>
    </chartFormat>
    <chartFormat chart="29" format="32">
      <pivotArea type="data" outline="0" fieldPosition="0">
        <references count="2">
          <reference field="4294967294" count="1" selected="0">
            <x v="0"/>
          </reference>
          <reference field="2" count="1" selected="0">
            <x v="1"/>
          </reference>
        </references>
      </pivotArea>
    </chartFormat>
    <chartFormat chart="29" format="33">
      <pivotArea type="data" outline="0" fieldPosition="0">
        <references count="2">
          <reference field="4294967294" count="1" selected="0">
            <x v="0"/>
          </reference>
          <reference field="2" count="1" selected="0">
            <x v="2"/>
          </reference>
        </references>
      </pivotArea>
    </chartFormat>
    <chartFormat chart="29" format="3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2DBA1C-977F-4845-9521-CF9C80F30AF0}" name="Sales percentage by dat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BI1:BJ13" firstHeaderRow="1" firstDataRow="1" firstDataCol="1"/>
  <pivotFields count="11">
    <pivotField showAll="0"/>
    <pivotField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x="3"/>
        <item x="1"/>
        <item x="0"/>
        <item x="2"/>
        <item t="default"/>
      </items>
    </pivotField>
    <pivotField showAll="0"/>
    <pivotField showAll="0">
      <items count="11">
        <item x="0"/>
        <item x="5"/>
        <item x="3"/>
        <item x="9"/>
        <item x="7"/>
        <item x="2"/>
        <item x="6"/>
        <item x="1"/>
        <item x="8"/>
        <item x="4"/>
        <item t="default"/>
      </items>
    </pivotField>
    <pivotField showAll="0">
      <items count="4">
        <item sd="0" x="2"/>
        <item sd="0" x="1"/>
        <item sd="0" x="0"/>
        <item t="default" sd="0"/>
      </items>
    </pivotField>
    <pivotField showAll="0"/>
    <pivotField showAll="0"/>
    <pivotField dataField="1"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0"/>
    <field x="9"/>
  </rowFields>
  <rowItems count="12">
    <i>
      <x v="1"/>
    </i>
    <i>
      <x v="2"/>
    </i>
    <i>
      <x v="3"/>
    </i>
    <i>
      <x v="4"/>
    </i>
    <i>
      <x v="5"/>
    </i>
    <i>
      <x v="6"/>
    </i>
    <i>
      <x v="7"/>
    </i>
    <i>
      <x v="8"/>
    </i>
    <i>
      <x v="9"/>
    </i>
    <i>
      <x v="10"/>
    </i>
    <i>
      <x v="11"/>
    </i>
    <i>
      <x v="12"/>
    </i>
  </rowItems>
  <colItems count="1">
    <i/>
  </colItems>
  <dataFields count="1">
    <dataField name="Sum of Total Sales" fld="8" showDataAs="percentOfTotal" baseField="10" baseItem="0" numFmtId="10"/>
  </dataFields>
  <formats count="12">
    <format>
      <pivotArea outline="0" collapsedLevelsAreSubtotals="1" fieldPosition="0"/>
    </format>
    <format>
      <pivotArea outline="0" fieldPosition="0">
        <references count="1">
          <reference field="4294967294" count="1">
            <x v="0"/>
          </reference>
        </references>
      </pivotArea>
    </format>
    <format>
      <pivotArea type="all" dataOnly="0" outline="0" fieldPosition="0"/>
    </format>
    <format>
      <pivotArea outline="0" collapsedLevelsAreSubtotals="1" fieldPosition="0"/>
    </format>
    <format>
      <pivotArea field="10" type="button" dataOnly="0" labelOnly="1" outline="0" axis="axisRow" fieldPosition="0"/>
    </format>
    <format>
      <pivotArea dataOnly="0" labelOnly="1" fieldPosition="0">
        <references count="1">
          <reference field="10" count="12">
            <x v="1"/>
            <x v="2"/>
            <x v="3"/>
            <x v="4"/>
            <x v="5"/>
            <x v="6"/>
            <x v="7"/>
            <x v="8"/>
            <x v="9"/>
            <x v="10"/>
            <x v="11"/>
            <x v="12"/>
          </reference>
        </references>
      </pivotArea>
    </format>
    <format>
      <pivotArea dataOnly="0" labelOnly="1" outline="0" axis="axisValues" fieldPosition="0"/>
    </format>
    <format>
      <pivotArea type="all" dataOnly="0" outline="0" fieldPosition="0"/>
    </format>
    <format>
      <pivotArea outline="0" collapsedLevelsAreSubtotals="1" fieldPosition="0"/>
    </format>
    <format>
      <pivotArea field="10" type="button" dataOnly="0" labelOnly="1" outline="0" axis="axisRow" fieldPosition="0"/>
    </format>
    <format>
      <pivotArea dataOnly="0" labelOnly="1" fieldPosition="0">
        <references count="1">
          <reference field="10" count="12">
            <x v="1"/>
            <x v="2"/>
            <x v="3"/>
            <x v="4"/>
            <x v="5"/>
            <x v="6"/>
            <x v="7"/>
            <x v="8"/>
            <x v="9"/>
            <x v="10"/>
            <x v="11"/>
            <x v="12"/>
          </reference>
        </references>
      </pivotArea>
    </format>
    <format>
      <pivotArea dataOnly="0" labelOnly="1" outline="0" axis="axisValues" fieldPosition="0"/>
    </format>
  </formats>
  <chartFormats count="1">
    <chartFormat chart="3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71632A-F96A-41C4-996E-F68E3D40D1AE}" name="time ser"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6">
  <location ref="AJ41:AK79" firstHeaderRow="1" firstDataRow="1" firstDataCol="1" rowPageCount="1" colPageCount="1"/>
  <pivotFields count="11">
    <pivotField compact="0" outline="0" showAll="0"/>
    <pivotField axis="axisRow" compact="0" outline="0"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compact="0" outline="0" showAll="0">
      <items count="5">
        <item x="3"/>
        <item x="1"/>
        <item x="0"/>
        <item x="2"/>
        <item t="default"/>
      </items>
    </pivotField>
    <pivotField axis="axisPage" compact="0" outline="0" multipleItemSelectionAllowed="1" showAll="0">
      <items count="9">
        <item sd="0" x="6"/>
        <item sd="0" x="4"/>
        <item sd="0" x="7"/>
        <item sd="0" x="2"/>
        <item sd="0" x="5"/>
        <item sd="0" x="0"/>
        <item sd="0" x="1"/>
        <item sd="0" x="3"/>
        <item t="default" sd="0"/>
      </items>
    </pivotField>
    <pivotField compact="0" outline="0" showAll="0"/>
    <pivotField compact="0" outline="0" showAll="0">
      <items count="4">
        <item x="2"/>
        <item x="1"/>
        <item x="0"/>
        <item t="default"/>
      </items>
    </pivotField>
    <pivotField dataField="1" compact="0" outline="0" showAll="0"/>
    <pivotField compact="0" outline="0" showAll="0"/>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rowItems>
  <colItems count="1">
    <i/>
  </colItems>
  <pageFields count="1">
    <pageField fld="3" hier="-1"/>
  </pageFields>
  <dataFields count="1">
    <dataField name="Sum of Quantity" fld="6" baseField="0" baseItem="0"/>
  </dataFields>
  <formats count="15">
    <format>
      <pivotArea outline="0" collapsedLevelsAreSubtotals="1" fieldPosition="0"/>
    </format>
    <format>
      <pivotArea type="all" dataOnly="0" outline="0" fieldPosition="0"/>
    </format>
    <format>
      <pivotArea outline="0" collapsedLevelsAreSubtotals="1" fieldPosition="0"/>
    </format>
    <format>
      <pivotArea field="3" type="button" dataOnly="0" labelOnly="1" outline="0" axis="axisPage" fieldPosition="0"/>
    </format>
    <format>
      <pivotArea field="1" type="button" dataOnly="0" labelOnly="1" outline="0" axis="axisRow" fieldPosition="0"/>
    </format>
    <format>
      <pivotArea dataOnly="0" labelOnly="1" outline="0" fieldPosition="0">
        <references count="1">
          <reference field="3" count="0"/>
        </references>
      </pivotArea>
    </format>
    <format>
      <pivotArea dataOnly="0" labelOnly="1" outline="0" axis="axisValues" fieldPosition="0"/>
    </format>
    <format>
      <pivotArea type="all" dataOnly="0" outline="0" fieldPosition="0"/>
    </format>
    <format>
      <pivotArea outline="0" collapsedLevelsAreSubtotals="1" fieldPosition="0"/>
    </format>
    <format>
      <pivotArea field="3" type="button" dataOnly="0" labelOnly="1" outline="0" axis="axisPage" fieldPosition="0"/>
    </format>
    <format>
      <pivotArea field="1" type="button" dataOnly="0" labelOnly="1" outline="0" axis="axisRow" fieldPosition="0"/>
    </format>
    <format>
      <pivotArea dataOnly="0" labelOnly="1" outline="0" fieldPosition="0">
        <references count="1">
          <reference field="3" count="0"/>
        </references>
      </pivotArea>
    </format>
    <format>
      <pivotArea dataOnly="0" labelOnly="1" outline="0" axis="axisValues" fieldPosition="0"/>
    </format>
    <format dxfId="4">
      <pivotArea outline="0" fieldPosition="0">
        <references count="1">
          <reference field="1" count="1" selected="0">
            <x v="12"/>
          </reference>
        </references>
      </pivotArea>
    </format>
    <format dxfId="3">
      <pivotArea dataOnly="0" labelOnly="1" outline="0" fieldPosition="0">
        <references count="1">
          <reference field="1" count="1">
            <x v="12"/>
          </reference>
        </references>
      </pivotArea>
    </format>
  </formats>
  <chartFormats count="19">
    <chartFormat chart="8"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2" format="3" series="1">
      <pivotArea type="data" outline="0" fieldPosition="0">
        <references count="2">
          <reference field="4294967294" count="1" selected="0">
            <x v="0"/>
          </reference>
          <reference field="3" count="1" selected="0">
            <x v="2"/>
          </reference>
        </references>
      </pivotArea>
    </chartFormat>
    <chartFormat chart="52" format="4" series="1">
      <pivotArea type="data" outline="0" fieldPosition="0">
        <references count="2">
          <reference field="4294967294" count="1" selected="0">
            <x v="0"/>
          </reference>
          <reference field="3" count="1" selected="0">
            <x v="3"/>
          </reference>
        </references>
      </pivotArea>
    </chartFormat>
    <chartFormat chart="52" format="5" series="1">
      <pivotArea type="data" outline="0" fieldPosition="0">
        <references count="2">
          <reference field="4294967294" count="1" selected="0">
            <x v="0"/>
          </reference>
          <reference field="3" count="1" selected="0">
            <x v="4"/>
          </reference>
        </references>
      </pivotArea>
    </chartFormat>
    <chartFormat chart="52" format="6" series="1">
      <pivotArea type="data" outline="0" fieldPosition="0">
        <references count="2">
          <reference field="4294967294" count="1" selected="0">
            <x v="0"/>
          </reference>
          <reference field="3" count="1" selected="0">
            <x v="5"/>
          </reference>
        </references>
      </pivotArea>
    </chartFormat>
    <chartFormat chart="52" format="7" series="1">
      <pivotArea type="data" outline="0" fieldPosition="0">
        <references count="2">
          <reference field="4294967294" count="1" selected="0">
            <x v="0"/>
          </reference>
          <reference field="3" count="1" selected="0">
            <x v="6"/>
          </reference>
        </references>
      </pivotArea>
    </chartFormat>
    <chartFormat chart="52" format="8" series="1">
      <pivotArea type="data" outline="0" fieldPosition="0">
        <references count="2">
          <reference field="4294967294" count="1" selected="0">
            <x v="0"/>
          </reference>
          <reference field="3" count="1" selected="0">
            <x v="7"/>
          </reference>
        </references>
      </pivotArea>
    </chartFormat>
    <chartFormat chart="48" format="1" series="1">
      <pivotArea type="data" outline="0" fieldPosition="0">
        <references count="2">
          <reference field="4294967294" count="1" selected="0">
            <x v="0"/>
          </reference>
          <reference field="3" count="1" selected="0">
            <x v="2"/>
          </reference>
        </references>
      </pivotArea>
    </chartFormat>
    <chartFormat chart="48" format="2" series="1">
      <pivotArea type="data" outline="0" fieldPosition="0">
        <references count="2">
          <reference field="4294967294" count="1" selected="0">
            <x v="0"/>
          </reference>
          <reference field="3" count="1" selected="0">
            <x v="3"/>
          </reference>
        </references>
      </pivotArea>
    </chartFormat>
    <chartFormat chart="48" format="3" series="1">
      <pivotArea type="data" outline="0" fieldPosition="0">
        <references count="2">
          <reference field="4294967294" count="1" selected="0">
            <x v="0"/>
          </reference>
          <reference field="3" count="1" selected="0">
            <x v="4"/>
          </reference>
        </references>
      </pivotArea>
    </chartFormat>
    <chartFormat chart="48" format="4" series="1">
      <pivotArea type="data" outline="0" fieldPosition="0">
        <references count="2">
          <reference field="4294967294" count="1" selected="0">
            <x v="0"/>
          </reference>
          <reference field="3" count="1" selected="0">
            <x v="5"/>
          </reference>
        </references>
      </pivotArea>
    </chartFormat>
    <chartFormat chart="48" format="5" series="1">
      <pivotArea type="data" outline="0" fieldPosition="0">
        <references count="2">
          <reference field="4294967294" count="1" selected="0">
            <x v="0"/>
          </reference>
          <reference field="3" count="1" selected="0">
            <x v="6"/>
          </reference>
        </references>
      </pivotArea>
    </chartFormat>
    <chartFormat chart="48" format="6" series="1">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filters count="1">
    <filter fld="1" type="dateBetween" evalOrder="-1" id="32" name="Date">
      <autoFilter ref="A1">
        <filterColumn colId="0">
          <customFilters and="1">
            <customFilter operator="greaterThanOrEqual" val="45292"/>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E19443-5933-43D2-9BD7-8F1431F74EBF}" name="Avarage of categgory per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F1:J7" firstHeaderRow="1" firstDataRow="2" firstDataCol="1"/>
  <pivotFields count="11">
    <pivotField showAll="0"/>
    <pivotField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axis="axisRow" showAll="0">
      <items count="5">
        <item x="3"/>
        <item x="1"/>
        <item x="0"/>
        <item x="2"/>
        <item t="default"/>
      </items>
    </pivotField>
    <pivotField showAll="0">
      <items count="9">
        <item x="6"/>
        <item h="1" x="4"/>
        <item h="1" x="7"/>
        <item h="1" x="2"/>
        <item h="1" x="5"/>
        <item h="1" x="0"/>
        <item h="1" x="1"/>
        <item h="1" x="3"/>
        <item t="default"/>
      </items>
    </pivotField>
    <pivotField showAll="0"/>
    <pivotField axis="axisCol" showAll="0">
      <items count="4">
        <item x="2"/>
        <item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5"/>
  </colFields>
  <colItems count="4">
    <i>
      <x/>
    </i>
    <i>
      <x v="1"/>
    </i>
    <i>
      <x v="2"/>
    </i>
    <i t="grand">
      <x/>
    </i>
  </colItems>
  <dataFields count="1">
    <dataField name="Average of Total Sales" fld="8" subtotal="average" baseField="2" baseItem="0" numFmtId="164"/>
  </dataFields>
  <formats count="19">
    <format>
      <pivotArea type="all" dataOnly="0" outline="0" fieldPosition="0"/>
    </format>
    <format>
      <pivotArea type="origin" dataOnly="0" labelOnly="1" outline="0" fieldPosition="0"/>
    </format>
    <format>
      <pivotArea field="5" type="button" dataOnly="0" labelOnly="1" outline="0" axis="axisCol" fieldPosition="0"/>
    </format>
    <format>
      <pivotArea type="topRight" dataOnly="0" labelOnly="1" outline="0"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fieldPosition="0">
        <references count="1">
          <reference field="5" count="0"/>
        </references>
      </pivotArea>
    </format>
    <format>
      <pivotArea dataOnly="0" labelOnly="1" grandCol="1" outline="0" fieldPosition="0"/>
    </format>
    <format>
      <pivotArea type="all" dataOnly="0" outline="0" fieldPosition="0"/>
    </format>
    <format>
      <pivotArea type="origin" dataOnly="0" labelOnly="1" outline="0" fieldPosition="0"/>
    </format>
    <format>
      <pivotArea field="5" type="button" dataOnly="0" labelOnly="1" outline="0" axis="axisCol" fieldPosition="0"/>
    </format>
    <format>
      <pivotArea type="topRight" dataOnly="0" labelOnly="1" outline="0"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fieldPosition="0">
        <references count="1">
          <reference field="5" count="0"/>
        </references>
      </pivotArea>
    </format>
    <format>
      <pivotArea dataOnly="0" labelOnly="1" grandCol="1" outline="0" fieldPosition="0"/>
    </format>
    <format dxfId="5">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20" format="12" series="1">
      <pivotArea type="data" outline="0" fieldPosition="0">
        <references count="2">
          <reference field="4294967294" count="1" selected="0">
            <x v="0"/>
          </reference>
          <reference field="5" count="1" selected="0">
            <x v="0"/>
          </reference>
        </references>
      </pivotArea>
    </chartFormat>
    <chartFormat chart="20" format="13" series="1">
      <pivotArea type="data" outline="0" fieldPosition="0">
        <references count="2">
          <reference field="4294967294" count="1" selected="0">
            <x v="0"/>
          </reference>
          <reference field="5" count="1" selected="0">
            <x v="1"/>
          </reference>
        </references>
      </pivotArea>
    </chartFormat>
    <chartFormat chart="20" format="14" series="1">
      <pivotArea type="data" outline="0" fieldPosition="0">
        <references count="2">
          <reference field="4294967294" count="1" selected="0">
            <x v="0"/>
          </reference>
          <reference field="5" count="1" selected="0">
            <x v="2"/>
          </reference>
        </references>
      </pivotArea>
    </chartFormat>
    <chartFormat chart="20" format="15">
      <pivotArea type="data" outline="0" fieldPosition="0">
        <references count="3">
          <reference field="4294967294" count="1" selected="0">
            <x v="0"/>
          </reference>
          <reference field="2" count="1" selected="0">
            <x v="1"/>
          </reference>
          <reference field="5" count="1" selected="0">
            <x v="2"/>
          </reference>
        </references>
      </pivotArea>
    </chartFormat>
    <chartFormat chart="20" format="16">
      <pivotArea type="data" outline="0" fieldPosition="0">
        <references count="3">
          <reference field="4294967294" count="1" selected="0">
            <x v="0"/>
          </reference>
          <reference field="2" count="1" selected="0">
            <x v="2"/>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D67E90-34C8-4BDF-AD59-C4E52F2CCD8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CZ3:DK8" firstHeaderRow="1" firstDataRow="2" firstDataCol="1"/>
  <pivotFields count="11">
    <pivotField showAll="0"/>
    <pivotField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sd="0" x="3"/>
        <item sd="0" x="1"/>
        <item sd="0" x="0"/>
        <item sd="0" x="2"/>
        <item t="default" sd="0"/>
      </items>
    </pivotField>
    <pivotField showAll="0"/>
    <pivotField axis="axisCol" showAll="0">
      <items count="11">
        <item x="0"/>
        <item x="5"/>
        <item x="3"/>
        <item x="9"/>
        <item x="7"/>
        <item x="2"/>
        <item x="6"/>
        <item x="1"/>
        <item x="8"/>
        <item x="4"/>
        <item t="default"/>
      </items>
    </pivotField>
    <pivotField axis="axisRow" showAll="0">
      <items count="4">
        <item x="2"/>
        <item x="1"/>
        <item x="0"/>
        <item t="default" sd="0"/>
      </items>
    </pivotField>
    <pivotField showAll="0">
      <items count="11">
        <item x="4"/>
        <item x="3"/>
        <item x="5"/>
        <item x="6"/>
        <item x="0"/>
        <item x="8"/>
        <item x="7"/>
        <item x="9"/>
        <item x="2"/>
        <item x="1"/>
        <item t="default"/>
      </items>
    </pivotField>
    <pivotField showAll="0">
      <items count="11">
        <item x="6"/>
        <item x="9"/>
        <item x="3"/>
        <item x="8"/>
        <item x="2"/>
        <item x="0"/>
        <item x="4"/>
        <item x="5"/>
        <item x="1"/>
        <item x="7"/>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5"/>
  </rowFields>
  <rowItems count="4">
    <i>
      <x/>
    </i>
    <i>
      <x v="1"/>
    </i>
    <i>
      <x v="2"/>
    </i>
    <i t="grand">
      <x/>
    </i>
  </rowItems>
  <colFields count="1">
    <field x="4"/>
  </colFields>
  <colItems count="11">
    <i>
      <x/>
    </i>
    <i>
      <x v="1"/>
    </i>
    <i>
      <x v="2"/>
    </i>
    <i>
      <x v="3"/>
    </i>
    <i>
      <x v="4"/>
    </i>
    <i>
      <x v="5"/>
    </i>
    <i>
      <x v="6"/>
    </i>
    <i>
      <x v="7"/>
    </i>
    <i>
      <x v="8"/>
    </i>
    <i>
      <x v="9"/>
    </i>
    <i t="grand">
      <x/>
    </i>
  </colItems>
  <dataFields count="1">
    <dataField name="Sum of Total Sales" fld="8" baseField="0" baseItem="0" numFmtId="164"/>
  </dataFields>
  <chartFormats count="32">
    <chartFormat chart="22" format="45" series="1">
      <pivotArea type="data" outline="0" fieldPosition="0">
        <references count="1">
          <reference field="4" count="1" selected="0">
            <x v="0"/>
          </reference>
        </references>
      </pivotArea>
    </chartFormat>
    <chartFormat chart="22" format="46" series="1">
      <pivotArea type="data" outline="0" fieldPosition="0">
        <references count="1">
          <reference field="4" count="1" selected="0">
            <x v="1"/>
          </reference>
        </references>
      </pivotArea>
    </chartFormat>
    <chartFormat chart="22" format="47" series="1">
      <pivotArea type="data" outline="0" fieldPosition="0">
        <references count="1">
          <reference field="4" count="1" selected="0">
            <x v="2"/>
          </reference>
        </references>
      </pivotArea>
    </chartFormat>
    <chartFormat chart="22" format="48" series="1">
      <pivotArea type="data" outline="0" fieldPosition="0">
        <references count="1">
          <reference field="4" count="1" selected="0">
            <x v="3"/>
          </reference>
        </references>
      </pivotArea>
    </chartFormat>
    <chartFormat chart="22" format="49" series="1">
      <pivotArea type="data" outline="0" fieldPosition="0">
        <references count="1">
          <reference field="4" count="1" selected="0">
            <x v="4"/>
          </reference>
        </references>
      </pivotArea>
    </chartFormat>
    <chartFormat chart="22" format="50" series="1">
      <pivotArea type="data" outline="0" fieldPosition="0">
        <references count="1">
          <reference field="4" count="1" selected="0">
            <x v="5"/>
          </reference>
        </references>
      </pivotArea>
    </chartFormat>
    <chartFormat chart="22" format="51" series="1">
      <pivotArea type="data" outline="0" fieldPosition="0">
        <references count="1">
          <reference field="4" count="1" selected="0">
            <x v="6"/>
          </reference>
        </references>
      </pivotArea>
    </chartFormat>
    <chartFormat chart="22" format="52" series="1">
      <pivotArea type="data" outline="0" fieldPosition="0">
        <references count="1">
          <reference field="4" count="1" selected="0">
            <x v="7"/>
          </reference>
        </references>
      </pivotArea>
    </chartFormat>
    <chartFormat chart="22" format="53" series="1">
      <pivotArea type="data" outline="0" fieldPosition="0">
        <references count="1">
          <reference field="4" count="1" selected="0">
            <x v="8"/>
          </reference>
        </references>
      </pivotArea>
    </chartFormat>
    <chartFormat chart="22" format="54" series="1">
      <pivotArea type="data" outline="0" fieldPosition="0">
        <references count="1">
          <reference field="4" count="1" selected="0">
            <x v="9"/>
          </reference>
        </references>
      </pivotArea>
    </chartFormat>
    <chartFormat chart="22" format="55" series="1">
      <pivotArea type="data" outline="0" fieldPosition="0">
        <references count="2">
          <reference field="4294967294" count="1" selected="0">
            <x v="0"/>
          </reference>
          <reference field="4" count="1" selected="0">
            <x v="0"/>
          </reference>
        </references>
      </pivotArea>
    </chartFormat>
    <chartFormat chart="22" format="56" series="1">
      <pivotArea type="data" outline="0" fieldPosition="0">
        <references count="2">
          <reference field="4294967294" count="1" selected="0">
            <x v="0"/>
          </reference>
          <reference field="4" count="1" selected="0">
            <x v="1"/>
          </reference>
        </references>
      </pivotArea>
    </chartFormat>
    <chartFormat chart="22" format="57" series="1">
      <pivotArea type="data" outline="0" fieldPosition="0">
        <references count="2">
          <reference field="4294967294" count="1" selected="0">
            <x v="0"/>
          </reference>
          <reference field="4" count="1" selected="0">
            <x v="2"/>
          </reference>
        </references>
      </pivotArea>
    </chartFormat>
    <chartFormat chart="22" format="58" series="1">
      <pivotArea type="data" outline="0" fieldPosition="0">
        <references count="2">
          <reference field="4294967294" count="1" selected="0">
            <x v="0"/>
          </reference>
          <reference field="4" count="1" selected="0">
            <x v="3"/>
          </reference>
        </references>
      </pivotArea>
    </chartFormat>
    <chartFormat chart="22" format="59" series="1">
      <pivotArea type="data" outline="0" fieldPosition="0">
        <references count="2">
          <reference field="4294967294" count="1" selected="0">
            <x v="0"/>
          </reference>
          <reference field="4" count="1" selected="0">
            <x v="4"/>
          </reference>
        </references>
      </pivotArea>
    </chartFormat>
    <chartFormat chart="22" format="60" series="1">
      <pivotArea type="data" outline="0" fieldPosition="0">
        <references count="2">
          <reference field="4294967294" count="1" selected="0">
            <x v="0"/>
          </reference>
          <reference field="4" count="1" selected="0">
            <x v="5"/>
          </reference>
        </references>
      </pivotArea>
    </chartFormat>
    <chartFormat chart="22" format="61" series="1">
      <pivotArea type="data" outline="0" fieldPosition="0">
        <references count="2">
          <reference field="4294967294" count="1" selected="0">
            <x v="0"/>
          </reference>
          <reference field="4" count="1" selected="0">
            <x v="6"/>
          </reference>
        </references>
      </pivotArea>
    </chartFormat>
    <chartFormat chart="22" format="62" series="1">
      <pivotArea type="data" outline="0" fieldPosition="0">
        <references count="2">
          <reference field="4294967294" count="1" selected="0">
            <x v="0"/>
          </reference>
          <reference field="4" count="1" selected="0">
            <x v="7"/>
          </reference>
        </references>
      </pivotArea>
    </chartFormat>
    <chartFormat chart="22" format="63" series="1">
      <pivotArea type="data" outline="0" fieldPosition="0">
        <references count="2">
          <reference field="4294967294" count="1" selected="0">
            <x v="0"/>
          </reference>
          <reference field="4" count="1" selected="0">
            <x v="8"/>
          </reference>
        </references>
      </pivotArea>
    </chartFormat>
    <chartFormat chart="22" format="64" series="1">
      <pivotArea type="data" outline="0" fieldPosition="0">
        <references count="2">
          <reference field="4294967294" count="1" selected="0">
            <x v="0"/>
          </reference>
          <reference field="4" count="1" selected="0">
            <x v="9"/>
          </reference>
        </references>
      </pivotArea>
    </chartFormat>
    <chartFormat chart="22" format="65">
      <pivotArea type="data" outline="0" fieldPosition="0">
        <references count="3">
          <reference field="4294967294" count="1" selected="0">
            <x v="0"/>
          </reference>
          <reference field="4" count="1" selected="0">
            <x v="1"/>
          </reference>
          <reference field="5" count="1" selected="0">
            <x v="2"/>
          </reference>
        </references>
      </pivotArea>
    </chartFormat>
    <chartFormat chart="31" format="77" series="1">
      <pivotArea type="data" outline="0" fieldPosition="0">
        <references count="2">
          <reference field="4294967294" count="1" selected="0">
            <x v="0"/>
          </reference>
          <reference field="4" count="1" selected="0">
            <x v="0"/>
          </reference>
        </references>
      </pivotArea>
    </chartFormat>
    <chartFormat chart="31" format="78" series="1">
      <pivotArea type="data" outline="0" fieldPosition="0">
        <references count="2">
          <reference field="4294967294" count="1" selected="0">
            <x v="0"/>
          </reference>
          <reference field="4" count="1" selected="0">
            <x v="1"/>
          </reference>
        </references>
      </pivotArea>
    </chartFormat>
    <chartFormat chart="31" format="79">
      <pivotArea type="data" outline="0" fieldPosition="0">
        <references count="3">
          <reference field="4294967294" count="1" selected="0">
            <x v="0"/>
          </reference>
          <reference field="4" count="1" selected="0">
            <x v="1"/>
          </reference>
          <reference field="5" count="1" selected="0">
            <x v="2"/>
          </reference>
        </references>
      </pivotArea>
    </chartFormat>
    <chartFormat chart="31" format="80" series="1">
      <pivotArea type="data" outline="0" fieldPosition="0">
        <references count="2">
          <reference field="4294967294" count="1" selected="0">
            <x v="0"/>
          </reference>
          <reference field="4" count="1" selected="0">
            <x v="2"/>
          </reference>
        </references>
      </pivotArea>
    </chartFormat>
    <chartFormat chart="31" format="81" series="1">
      <pivotArea type="data" outline="0" fieldPosition="0">
        <references count="2">
          <reference field="4294967294" count="1" selected="0">
            <x v="0"/>
          </reference>
          <reference field="4" count="1" selected="0">
            <x v="3"/>
          </reference>
        </references>
      </pivotArea>
    </chartFormat>
    <chartFormat chart="31" format="82" series="1">
      <pivotArea type="data" outline="0" fieldPosition="0">
        <references count="2">
          <reference field="4294967294" count="1" selected="0">
            <x v="0"/>
          </reference>
          <reference field="4" count="1" selected="0">
            <x v="4"/>
          </reference>
        </references>
      </pivotArea>
    </chartFormat>
    <chartFormat chart="31" format="83" series="1">
      <pivotArea type="data" outline="0" fieldPosition="0">
        <references count="2">
          <reference field="4294967294" count="1" selected="0">
            <x v="0"/>
          </reference>
          <reference field="4" count="1" selected="0">
            <x v="5"/>
          </reference>
        </references>
      </pivotArea>
    </chartFormat>
    <chartFormat chart="31" format="84" series="1">
      <pivotArea type="data" outline="0" fieldPosition="0">
        <references count="2">
          <reference field="4294967294" count="1" selected="0">
            <x v="0"/>
          </reference>
          <reference field="4" count="1" selected="0">
            <x v="6"/>
          </reference>
        </references>
      </pivotArea>
    </chartFormat>
    <chartFormat chart="31" format="85" series="1">
      <pivotArea type="data" outline="0" fieldPosition="0">
        <references count="2">
          <reference field="4294967294" count="1" selected="0">
            <x v="0"/>
          </reference>
          <reference field="4" count="1" selected="0">
            <x v="7"/>
          </reference>
        </references>
      </pivotArea>
    </chartFormat>
    <chartFormat chart="31" format="86" series="1">
      <pivotArea type="data" outline="0" fieldPosition="0">
        <references count="2">
          <reference field="4294967294" count="1" selected="0">
            <x v="0"/>
          </reference>
          <reference field="4" count="1" selected="0">
            <x v="8"/>
          </reference>
        </references>
      </pivotArea>
    </chartFormat>
    <chartFormat chart="31" format="87" series="1">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5F2E86-1014-4878-8BC0-BB1D5325709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70:B75" firstHeaderRow="1" firstDataRow="1" firstDataCol="1"/>
  <pivotFields count="11">
    <pivotField showAll="0"/>
    <pivotField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axis="axisRow" showAll="0">
      <items count="5">
        <item x="3"/>
        <item x="1"/>
        <item x="0"/>
        <item x="2"/>
        <item t="default"/>
      </items>
    </pivotField>
    <pivotField showAll="0">
      <items count="9">
        <item x="6"/>
        <item h="1" x="4"/>
        <item h="1" x="7"/>
        <item h="1" x="2"/>
        <item h="1" x="5"/>
        <item h="1" x="0"/>
        <item h="1" x="1"/>
        <item h="1" x="3"/>
        <item t="default"/>
      </items>
    </pivotField>
    <pivotField showAll="0">
      <items count="11">
        <item x="0"/>
        <item x="5"/>
        <item x="3"/>
        <item x="9"/>
        <item x="7"/>
        <item x="2"/>
        <item x="6"/>
        <item x="1"/>
        <item x="8"/>
        <item x="4"/>
        <item t="default"/>
      </items>
    </pivotField>
    <pivotField showAll="0">
      <items count="4">
        <item x="2"/>
        <item x="1"/>
        <item x="0"/>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6" baseField="0" baseItem="0"/>
  </dataFields>
  <formats count="17">
    <format>
      <pivotArea type="all" dataOnly="0" outline="0" fieldPosition="0"/>
    </format>
    <format>
      <pivotArea type="origin" dataOnly="0" labelOnly="1" outline="0" fieldPosition="0"/>
    </format>
    <format>
      <pivotArea field="5" type="button" dataOnly="0" labelOnly="1" outline="0"/>
    </format>
    <format>
      <pivotArea type="topRight" dataOnly="0" labelOnly="1" outline="0"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grandCol="1" outline="0" fieldPosition="0"/>
    </format>
    <format>
      <pivotArea type="all" dataOnly="0" outline="0" fieldPosition="0"/>
    </format>
    <format>
      <pivotArea type="origin" dataOnly="0" labelOnly="1" outline="0" fieldPosition="0"/>
    </format>
    <format>
      <pivotArea field="5" type="button" dataOnly="0" labelOnly="1" outline="0"/>
    </format>
    <format>
      <pivotArea type="topRight" dataOnly="0" labelOnly="1" outline="0"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grandCol="1" outline="0"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5F044F1-A676-426F-827D-B22D945367D8}" name="No.of  Quantity Order each sales Re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7">
  <location ref="T1:V9" firstHeaderRow="1" firstDataRow="1" firstDataCol="2"/>
  <pivotFields count="11">
    <pivotField compact="0" outline="0" showAll="0"/>
    <pivotField compact="0" outline="0"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compact="0" outline="0" showAll="0">
      <items count="5">
        <item x="3"/>
        <item x="1"/>
        <item x="0"/>
        <item x="2"/>
        <item t="default"/>
      </items>
    </pivotField>
    <pivotField axis="axisRow" compact="0" outline="0" showAll="0">
      <items count="9">
        <item sd="0" x="6"/>
        <item sd="0" x="4"/>
        <item sd="0" x="7"/>
        <item sd="0" x="2"/>
        <item sd="0" x="5"/>
        <item sd="0" x="0"/>
        <item sd="0" x="1"/>
        <item sd="0" x="3"/>
        <item t="default"/>
      </items>
    </pivotField>
    <pivotField compact="0" outline="0" showAll="0"/>
    <pivotField axis="axisRow" compact="0" outline="0" showAll="0">
      <items count="4">
        <item x="2"/>
        <item x="1"/>
        <item x="0"/>
        <item t="default"/>
      </items>
    </pivotField>
    <pivotField dataField="1"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2">
    <field x="3"/>
    <field x="5"/>
  </rowFields>
  <rowItems count="8">
    <i>
      <x/>
    </i>
    <i>
      <x v="1"/>
    </i>
    <i>
      <x v="2"/>
    </i>
    <i>
      <x v="3"/>
    </i>
    <i>
      <x v="4"/>
    </i>
    <i>
      <x v="5"/>
    </i>
    <i>
      <x v="6"/>
    </i>
    <i>
      <x v="7"/>
    </i>
  </rowItems>
  <colItems count="1">
    <i/>
  </colItems>
  <dataFields count="1">
    <dataField name="Sum of Quantity" fld="6" baseField="0" baseItem="0"/>
  </dataFields>
  <formats count="13">
    <format>
      <pivotArea outline="0" collapsedLevelsAreSubtotals="1" fieldPosition="0"/>
    </format>
    <format>
      <pivotArea type="all" dataOnly="0" outline="0" fieldPosition="0"/>
    </format>
    <format>
      <pivotArea outline="0" collapsedLevelsAreSubtotals="1" fieldPosition="0"/>
    </format>
    <format>
      <pivotArea field="3" type="button" dataOnly="0" labelOnly="1" outline="0" axis="axisRow" fieldPosition="0"/>
    </format>
    <format>
      <pivotArea field="5" type="button" dataOnly="0" labelOnly="1" outline="0" axis="axisRow" fieldPosition="1"/>
    </format>
    <format>
      <pivotArea dataOnly="0" labelOnly="1" outline="0" fieldPosition="0">
        <references count="1">
          <reference field="3" count="0"/>
        </references>
      </pivotArea>
    </format>
    <format>
      <pivotArea dataOnly="0" labelOnly="1" outline="0" axis="axisValues" fieldPosition="0"/>
    </format>
    <format>
      <pivotArea type="all" dataOnly="0" outline="0" fieldPosition="0"/>
    </format>
    <format>
      <pivotArea outline="0" collapsedLevelsAreSubtotals="1" fieldPosition="0"/>
    </format>
    <format>
      <pivotArea field="3" type="button" dataOnly="0" labelOnly="1" outline="0" axis="axisRow" fieldPosition="0"/>
    </format>
    <format>
      <pivotArea field="5" type="button" dataOnly="0" labelOnly="1" outline="0" axis="axisRow" fieldPosition="1"/>
    </format>
    <format>
      <pivotArea dataOnly="0" labelOnly="1" outline="0" fieldPosition="0">
        <references count="1">
          <reference field="3" count="0"/>
        </references>
      </pivotArea>
    </format>
    <format>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3CC4FC-3EE7-4ED2-9459-7E879E6DFA94}" name="Total sales  per sales 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B1:AC10" firstHeaderRow="1" firstDataRow="1" firstDataCol="1"/>
  <pivotFields count="11">
    <pivotField showAll="0"/>
    <pivotField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x="3"/>
        <item x="1"/>
        <item x="0"/>
        <item x="2"/>
        <item t="default"/>
      </items>
    </pivotField>
    <pivotField axis="axisRow" showAll="0">
      <items count="9">
        <item x="6"/>
        <item x="4"/>
        <item x="7"/>
        <item x="2"/>
        <item x="5"/>
        <item x="0"/>
        <item x="1"/>
        <item x="3"/>
        <item t="default"/>
      </items>
    </pivotField>
    <pivotField showAll="0"/>
    <pivotField showAll="0">
      <items count="4">
        <item x="2"/>
        <item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 Sales" fld="8" baseField="0" baseItem="0" numFmtId="164"/>
  </dataFields>
  <formats count="11">
    <format>
      <pivotArea type="all" dataOnly="0" outline="0" fieldPosition="0"/>
    </format>
    <format>
      <pivotArea field="3" type="button" dataOnly="0" labelOnly="1" outline="0" axis="axisRow" fieldPosition="0"/>
    </format>
    <format>
      <pivotArea dataOnly="0" labelOnly="1" fieldPosition="0">
        <references count="1">
          <reference field="3" count="0"/>
        </references>
      </pivotArea>
    </format>
    <format>
      <pivotArea dataOnly="0" labelOnly="1" grandRow="1" outline="0" fieldPosition="0"/>
    </format>
    <format>
      <pivotArea dataOnly="0" labelOnly="1" outline="0" axis="axisValues" fieldPosition="0"/>
    </format>
    <format>
      <pivotArea type="all" dataOnly="0" outline="0" fieldPosition="0"/>
    </format>
    <format>
      <pivotArea field="3" type="button" dataOnly="0" labelOnly="1" outline="0" axis="axisRow" fieldPosition="0"/>
    </format>
    <format>
      <pivotArea dataOnly="0" labelOnly="1" fieldPosition="0">
        <references count="1">
          <reference field="3" count="0"/>
        </references>
      </pivotArea>
    </format>
    <format>
      <pivotArea dataOnly="0" labelOnly="1" grandRow="1" outline="0" fieldPosition="0"/>
    </format>
    <format>
      <pivotArea dataOnly="0" labelOnly="1" outline="0" axis="axisValues" fieldPosition="0"/>
    </format>
    <format dxfId="7">
      <pivotArea outline="0" collapsedLevelsAreSubtotals="1" fieldPosition="0"/>
    </format>
  </formats>
  <chartFormats count="1">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ED32325-5A54-45D9-B359-2A0E8856A5C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63:B68" firstHeaderRow="1" firstDataRow="1" firstDataCol="1"/>
  <pivotFields count="11">
    <pivotField showAll="0"/>
    <pivotField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axis="axisRow" showAll="0">
      <items count="5">
        <item x="3"/>
        <item x="1"/>
        <item x="0"/>
        <item x="2"/>
        <item t="default"/>
      </items>
    </pivotField>
    <pivotField showAll="0">
      <items count="9">
        <item x="6"/>
        <item h="1" x="4"/>
        <item h="1" x="7"/>
        <item h="1" x="2"/>
        <item h="1" x="5"/>
        <item h="1" x="0"/>
        <item h="1" x="1"/>
        <item h="1" x="3"/>
        <item t="default"/>
      </items>
    </pivotField>
    <pivotField showAll="0"/>
    <pivotField showAll="0">
      <items count="4">
        <item x="2"/>
        <item x="1"/>
        <item x="0"/>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6" baseField="0" baseItem="0"/>
  </dataFields>
  <formats count="17">
    <format>
      <pivotArea type="all" dataOnly="0" outline="0" fieldPosition="0"/>
    </format>
    <format>
      <pivotArea type="origin" dataOnly="0" labelOnly="1" outline="0" fieldPosition="0"/>
    </format>
    <format>
      <pivotArea field="5" type="button" dataOnly="0" labelOnly="1" outline="0"/>
    </format>
    <format>
      <pivotArea type="topRight" dataOnly="0" labelOnly="1" outline="0"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grandCol="1" outline="0" fieldPosition="0"/>
    </format>
    <format>
      <pivotArea type="all" dataOnly="0" outline="0" fieldPosition="0"/>
    </format>
    <format>
      <pivotArea type="origin" dataOnly="0" labelOnly="1" outline="0" fieldPosition="0"/>
    </format>
    <format>
      <pivotArea field="5" type="button" dataOnly="0" labelOnly="1" outline="0"/>
    </format>
    <format>
      <pivotArea type="topRight" dataOnly="0" labelOnly="1" outline="0"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grandCol="1" outline="0"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71093C0-8EE1-42C9-B15C-F8064D998560}" name="Ava Per 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8" firstHeaderRow="1" firstDataRow="1" firstDataCol="1" rowPageCount="1" colPageCount="1"/>
  <pivotFields count="11">
    <pivotField showAll="0"/>
    <pivotField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axis="axisRow" showAll="0">
      <items count="5">
        <item x="3"/>
        <item x="1"/>
        <item x="0"/>
        <item x="2"/>
        <item t="default"/>
      </items>
    </pivotField>
    <pivotField showAll="0"/>
    <pivotField showAll="0"/>
    <pivotField axis="axisPage" showAll="0">
      <items count="4">
        <item x="2"/>
        <item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pageFields count="1">
    <pageField fld="5" hier="-1"/>
  </pageFields>
  <dataFields count="1">
    <dataField name="Average of Total Sales" fld="8" subtotal="average" baseField="2" baseItem="0" numFmtId="164"/>
  </dataFields>
  <formats count="11">
    <format>
      <pivotArea type="all" dataOnly="0" outline="0"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outline="0" axis="axisValues" fieldPosition="0"/>
    </format>
    <format>
      <pivotArea type="all" dataOnly="0" outline="0"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outline="0" axis="axisValues" fieldPosition="0"/>
    </format>
    <format dxfId="9">
      <pivotArea outline="0" collapsedLevelsAreSubtotals="1" fieldPosition="0"/>
    </format>
  </formats>
  <chartFormats count="15">
    <chartFormat chart="22" format="15" series="1">
      <pivotArea type="data" outline="0" fieldPosition="0">
        <references count="1">
          <reference field="4294967294" count="1" selected="0">
            <x v="0"/>
          </reference>
        </references>
      </pivotArea>
    </chartFormat>
    <chartFormat chart="22" format="16">
      <pivotArea type="data" outline="0" fieldPosition="0">
        <references count="2">
          <reference field="4294967294" count="1" selected="0">
            <x v="0"/>
          </reference>
          <reference field="2" count="1" selected="0">
            <x v="0"/>
          </reference>
        </references>
      </pivotArea>
    </chartFormat>
    <chartFormat chart="22" format="17">
      <pivotArea type="data" outline="0" fieldPosition="0">
        <references count="2">
          <reference field="4294967294" count="1" selected="0">
            <x v="0"/>
          </reference>
          <reference field="2" count="1" selected="0">
            <x v="1"/>
          </reference>
        </references>
      </pivotArea>
    </chartFormat>
    <chartFormat chart="22" format="18">
      <pivotArea type="data" outline="0" fieldPosition="0">
        <references count="2">
          <reference field="4294967294" count="1" selected="0">
            <x v="0"/>
          </reference>
          <reference field="2" count="1" selected="0">
            <x v="2"/>
          </reference>
        </references>
      </pivotArea>
    </chartFormat>
    <chartFormat chart="22" format="19">
      <pivotArea type="data" outline="0" fieldPosition="0">
        <references count="2">
          <reference field="4294967294" count="1" selected="0">
            <x v="0"/>
          </reference>
          <reference field="2" count="1" selected="0">
            <x v="3"/>
          </reference>
        </references>
      </pivotArea>
    </chartFormat>
    <chartFormat chart="23" format="20" series="1">
      <pivotArea type="data" outline="0" fieldPosition="0">
        <references count="1">
          <reference field="4294967294" count="1" selected="0">
            <x v="0"/>
          </reference>
        </references>
      </pivotArea>
    </chartFormat>
    <chartFormat chart="23" format="21">
      <pivotArea type="data" outline="0" fieldPosition="0">
        <references count="2">
          <reference field="4294967294" count="1" selected="0">
            <x v="0"/>
          </reference>
          <reference field="2" count="1" selected="0">
            <x v="0"/>
          </reference>
        </references>
      </pivotArea>
    </chartFormat>
    <chartFormat chart="23" format="22">
      <pivotArea type="data" outline="0" fieldPosition="0">
        <references count="2">
          <reference field="4294967294" count="1" selected="0">
            <x v="0"/>
          </reference>
          <reference field="2" count="1" selected="0">
            <x v="1"/>
          </reference>
        </references>
      </pivotArea>
    </chartFormat>
    <chartFormat chart="23" format="23">
      <pivotArea type="data" outline="0" fieldPosition="0">
        <references count="2">
          <reference field="4294967294" count="1" selected="0">
            <x v="0"/>
          </reference>
          <reference field="2" count="1" selected="0">
            <x v="2"/>
          </reference>
        </references>
      </pivotArea>
    </chartFormat>
    <chartFormat chart="23" format="24">
      <pivotArea type="data" outline="0" fieldPosition="0">
        <references count="2">
          <reference field="4294967294" count="1" selected="0">
            <x v="0"/>
          </reference>
          <reference field="2" count="1" selected="0">
            <x v="3"/>
          </reference>
        </references>
      </pivotArea>
    </chartFormat>
    <chartFormat chart="30" format="27" series="1">
      <pivotArea type="data" outline="0" fieldPosition="0">
        <references count="1">
          <reference field="4294967294" count="1" selected="0">
            <x v="0"/>
          </reference>
        </references>
      </pivotArea>
    </chartFormat>
    <chartFormat chart="30" format="28">
      <pivotArea type="data" outline="0" fieldPosition="0">
        <references count="2">
          <reference field="4294967294" count="1" selected="0">
            <x v="0"/>
          </reference>
          <reference field="2" count="1" selected="0">
            <x v="2"/>
          </reference>
        </references>
      </pivotArea>
    </chartFormat>
    <chartFormat chart="30" format="29">
      <pivotArea type="data" outline="0" fieldPosition="0">
        <references count="2">
          <reference field="4294967294" count="1" selected="0">
            <x v="0"/>
          </reference>
          <reference field="2" count="1" selected="0">
            <x v="0"/>
          </reference>
        </references>
      </pivotArea>
    </chartFormat>
    <chartFormat chart="30" format="30">
      <pivotArea type="data" outline="0" fieldPosition="0">
        <references count="2">
          <reference field="4294967294" count="1" selected="0">
            <x v="0"/>
          </reference>
          <reference field="2" count="1" selected="0">
            <x v="1"/>
          </reference>
        </references>
      </pivotArea>
    </chartFormat>
    <chartFormat chart="30" format="3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27ECF9E-A5DA-4E06-AB54-33A667D57D5E}"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U44:BV49" firstHeaderRow="1" firstDataRow="1" firstDataCol="1"/>
  <pivotFields count="9">
    <pivotField showAll="0"/>
    <pivotField showAll="0"/>
    <pivotField axis="axisRow" showAll="0">
      <items count="5">
        <item sd="0" x="3"/>
        <item sd="0" x="1"/>
        <item sd="0" x="0"/>
        <item sd="0" x="2"/>
        <item t="default"/>
      </items>
    </pivotField>
    <pivotField showAll="0"/>
    <pivotField axis="axisRow" showAll="0">
      <items count="11">
        <item x="0"/>
        <item x="5"/>
        <item x="3"/>
        <item x="9"/>
        <item x="7"/>
        <item x="2"/>
        <item x="6"/>
        <item x="1"/>
        <item x="8"/>
        <item x="4"/>
        <item t="default"/>
      </items>
    </pivotField>
    <pivotField showAll="0">
      <items count="4">
        <item x="2"/>
        <item x="1"/>
        <item x="0"/>
        <item t="default"/>
      </items>
    </pivotField>
    <pivotField showAll="0"/>
    <pivotField showAll="0"/>
    <pivotField dataField="1" showAll="0"/>
  </pivotFields>
  <rowFields count="2">
    <field x="2"/>
    <field x="4"/>
  </rowFields>
  <rowItems count="5">
    <i>
      <x/>
    </i>
    <i>
      <x v="1"/>
    </i>
    <i>
      <x v="2"/>
    </i>
    <i>
      <x v="3"/>
    </i>
    <i t="grand">
      <x/>
    </i>
  </rowItems>
  <colItems count="1">
    <i/>
  </colItems>
  <dataFields count="1">
    <dataField name="Sum of Total Sales" fld="8"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7F87F0A-BDB8-437E-B76A-48764A4CCB36}" name="Sum of Q per Date for each sales rep"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2">
  <location ref="AM3:AO11" firstHeaderRow="1" firstDataRow="1" firstDataCol="2"/>
  <pivotFields count="11">
    <pivotField compact="0" outline="0" showAll="0"/>
    <pivotField axis="axisRow" compact="0" outline="0"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compact="0" outline="0" showAll="0">
      <items count="5">
        <item x="3"/>
        <item x="1"/>
        <item x="0"/>
        <item x="2"/>
        <item t="default"/>
      </items>
    </pivotField>
    <pivotField axis="axisRow" compact="0" outline="0" showAll="0" defaultSubtotal="0">
      <items count="8">
        <item sd="0" x="6"/>
        <item sd="0" x="4"/>
        <item sd="0" x="7"/>
        <item sd="0" x="2"/>
        <item sd="0" x="5"/>
        <item sd="0" x="0"/>
        <item sd="0" x="1"/>
        <item sd="0" x="3"/>
      </items>
    </pivotField>
    <pivotField compact="0" outline="0" showAll="0"/>
    <pivotField compact="0" outline="0" showAll="0">
      <items count="4">
        <item x="2"/>
        <item x="1"/>
        <item x="0"/>
        <item t="default"/>
      </items>
    </pivotField>
    <pivotField dataField="1" compact="0" outline="0" showAll="0"/>
    <pivotField compact="0" outline="0" showAll="0"/>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2">
    <field x="3"/>
    <field x="1"/>
  </rowFields>
  <rowItems count="8">
    <i>
      <x/>
    </i>
    <i>
      <x v="1"/>
    </i>
    <i>
      <x v="2"/>
    </i>
    <i>
      <x v="3"/>
    </i>
    <i>
      <x v="4"/>
    </i>
    <i>
      <x v="5"/>
    </i>
    <i>
      <x v="6"/>
    </i>
    <i>
      <x v="7"/>
    </i>
  </rowItems>
  <colItems count="1">
    <i/>
  </colItems>
  <dataFields count="1">
    <dataField name="Sum of Quantity" fld="6" baseField="0" baseItem="0"/>
  </dataFields>
  <formats count="13">
    <format>
      <pivotArea outline="0" collapsedLevelsAreSubtotals="1" fieldPosition="0"/>
    </format>
    <format>
      <pivotArea type="all" dataOnly="0" outline="0" fieldPosition="0"/>
    </format>
    <format>
      <pivotArea outline="0" collapsedLevelsAreSubtotals="1" fieldPosition="0"/>
    </format>
    <format>
      <pivotArea field="3" type="button" dataOnly="0" labelOnly="1" outline="0" axis="axisRow" fieldPosition="0"/>
    </format>
    <format>
      <pivotArea field="1" type="button" dataOnly="0" labelOnly="1" outline="0" axis="axisRow" fieldPosition="1"/>
    </format>
    <format>
      <pivotArea dataOnly="0" labelOnly="1" outline="0" fieldPosition="0">
        <references count="1">
          <reference field="3" count="0"/>
        </references>
      </pivotArea>
    </format>
    <format>
      <pivotArea dataOnly="0" labelOnly="1" outline="0" axis="axisValues" fieldPosition="0"/>
    </format>
    <format>
      <pivotArea type="all" dataOnly="0" outline="0" fieldPosition="0"/>
    </format>
    <format>
      <pivotArea outline="0" collapsedLevelsAreSubtotals="1" fieldPosition="0"/>
    </format>
    <format>
      <pivotArea field="3" type="button" dataOnly="0" labelOnly="1" outline="0" axis="axisRow" fieldPosition="0"/>
    </format>
    <format>
      <pivotArea field="1" type="button" dataOnly="0" labelOnly="1" outline="0" axis="axisRow" fieldPosition="1"/>
    </format>
    <format>
      <pivotArea dataOnly="0" labelOnly="1" outline="0" fieldPosition="0">
        <references count="1">
          <reference field="3" count="0"/>
        </references>
      </pivotArea>
    </format>
    <format>
      <pivotArea dataOnly="0" labelOnly="1" outline="0" axis="axisValues" fieldPosition="0"/>
    </format>
  </formats>
  <chartFormats count="9">
    <chartFormat chart="8"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67" name="Date">
      <autoFilter ref="A1">
        <filterColumn colId="0">
          <customFilters and="1">
            <customFilter operator="greaterThanOrEqual" val="45292"/>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6B7EECC-E2B0-4557-902B-7C37769810BC}" name="Total Sales per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57:B62" firstHeaderRow="1" firstDataRow="1" firstDataCol="1"/>
  <pivotFields count="11">
    <pivotField showAll="0"/>
    <pivotField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axis="axisRow" showAll="0">
      <items count="5">
        <item x="3"/>
        <item x="1"/>
        <item x="0"/>
        <item x="2"/>
        <item t="default"/>
      </items>
    </pivotField>
    <pivotField showAll="0">
      <items count="9">
        <item x="6"/>
        <item h="1" x="4"/>
        <item h="1" x="7"/>
        <item h="1" x="2"/>
        <item h="1" x="5"/>
        <item h="1" x="0"/>
        <item h="1" x="1"/>
        <item h="1" x="3"/>
        <item t="default"/>
      </items>
    </pivotField>
    <pivotField showAll="0"/>
    <pivotField showAll="0">
      <items count="4">
        <item x="2"/>
        <item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8" baseField="2" baseItem="0" numFmtId="164"/>
  </dataFields>
  <formats count="17">
    <format>
      <pivotArea type="all" dataOnly="0" outline="0" fieldPosition="0"/>
    </format>
    <format>
      <pivotArea type="origin" dataOnly="0" labelOnly="1" outline="0" fieldPosition="0"/>
    </format>
    <format>
      <pivotArea field="5" type="button" dataOnly="0" labelOnly="1" outline="0"/>
    </format>
    <format>
      <pivotArea type="topRight" dataOnly="0" labelOnly="1" outline="0"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grandCol="1" outline="0" fieldPosition="0"/>
    </format>
    <format>
      <pivotArea type="all" dataOnly="0" outline="0" fieldPosition="0"/>
    </format>
    <format>
      <pivotArea type="origin" dataOnly="0" labelOnly="1" outline="0" fieldPosition="0"/>
    </format>
    <format>
      <pivotArea field="5" type="button" dataOnly="0" labelOnly="1" outline="0"/>
    </format>
    <format>
      <pivotArea type="topRight" dataOnly="0" labelOnly="1" outline="0" fieldPosition="0"/>
    </format>
    <format>
      <pivotArea field="2" type="button" dataOnly="0" labelOnly="1" outline="0" axis="axisRow" fieldPosition="0"/>
    </format>
    <format>
      <pivotArea dataOnly="0" labelOnly="1" fieldPosition="0">
        <references count="1">
          <reference field="2" count="0"/>
        </references>
      </pivotArea>
    </format>
    <format>
      <pivotArea dataOnly="0" labelOnly="1" grandRow="1" outline="0" fieldPosition="0"/>
    </format>
    <format>
      <pivotArea dataOnly="0" labelOnly="1" grandCol="1" outline="0" fieldPosition="0"/>
    </format>
    <format dxfId="1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38FB991-EE89-477E-ABAF-2FB848812C4C}" name="Total  sales by dat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BT2:BU14" firstHeaderRow="1" firstDataRow="1" firstDataCol="1"/>
  <pivotFields count="11">
    <pivotField showAll="0"/>
    <pivotField showAll="0">
      <items count="87">
        <item x="17"/>
        <item x="58"/>
        <item x="28"/>
        <item x="45"/>
        <item x="16"/>
        <item x="32"/>
        <item x="76"/>
        <item x="46"/>
        <item x="27"/>
        <item x="14"/>
        <item x="80"/>
        <item x="13"/>
        <item x="79"/>
        <item x="77"/>
        <item x="15"/>
        <item x="75"/>
        <item x="35"/>
        <item x="49"/>
        <item x="24"/>
        <item x="63"/>
        <item x="70"/>
        <item x="26"/>
        <item x="19"/>
        <item x="38"/>
        <item x="72"/>
        <item x="2"/>
        <item x="65"/>
        <item x="85"/>
        <item x="41"/>
        <item x="56"/>
        <item x="3"/>
        <item x="60"/>
        <item x="84"/>
        <item x="55"/>
        <item x="40"/>
        <item x="9"/>
        <item x="43"/>
        <item x="8"/>
        <item x="0"/>
        <item x="48"/>
        <item x="74"/>
        <item x="1"/>
        <item x="52"/>
        <item x="39"/>
        <item x="36"/>
        <item x="37"/>
        <item x="53"/>
        <item x="61"/>
        <item x="50"/>
        <item x="23"/>
        <item x="21"/>
        <item x="4"/>
        <item x="51"/>
        <item x="12"/>
        <item x="68"/>
        <item x="18"/>
        <item x="42"/>
        <item x="30"/>
        <item x="82"/>
        <item x="47"/>
        <item x="20"/>
        <item x="59"/>
        <item x="5"/>
        <item x="54"/>
        <item x="11"/>
        <item x="66"/>
        <item x="81"/>
        <item x="69"/>
        <item x="62"/>
        <item x="71"/>
        <item x="29"/>
        <item x="7"/>
        <item x="57"/>
        <item x="25"/>
        <item x="44"/>
        <item x="67"/>
        <item x="6"/>
        <item x="78"/>
        <item x="83"/>
        <item x="22"/>
        <item x="33"/>
        <item x="31"/>
        <item x="73"/>
        <item x="64"/>
        <item x="34"/>
        <item x="10"/>
        <item t="default"/>
      </items>
    </pivotField>
    <pivotField showAll="0">
      <items count="5">
        <item x="3"/>
        <item x="1"/>
        <item x="0"/>
        <item x="2"/>
        <item t="default"/>
      </items>
    </pivotField>
    <pivotField showAll="0"/>
    <pivotField showAll="0">
      <items count="11">
        <item x="0"/>
        <item x="5"/>
        <item x="3"/>
        <item x="9"/>
        <item x="7"/>
        <item x="2"/>
        <item x="6"/>
        <item x="1"/>
        <item x="8"/>
        <item x="4"/>
        <item t="default"/>
      </items>
    </pivotField>
    <pivotField axis="axisRow" showAll="0">
      <items count="4">
        <item sd="0" x="2"/>
        <item sd="0" x="1"/>
        <item sd="0" x="0"/>
        <item t="default" sd="0"/>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0"/>
    <field x="5"/>
  </rowFields>
  <rowItems count="12">
    <i>
      <x v="1"/>
    </i>
    <i>
      <x v="2"/>
    </i>
    <i>
      <x v="3"/>
    </i>
    <i>
      <x v="4"/>
    </i>
    <i>
      <x v="5"/>
    </i>
    <i>
      <x v="6"/>
    </i>
    <i>
      <x v="7"/>
    </i>
    <i>
      <x v="8"/>
    </i>
    <i>
      <x v="9"/>
    </i>
    <i>
      <x v="10"/>
    </i>
    <i>
      <x v="11"/>
    </i>
    <i>
      <x v="12"/>
    </i>
  </rowItems>
  <colItems count="1">
    <i/>
  </colItems>
  <dataFields count="1">
    <dataField name="Sum of Total Sales" fld="8" showDataAs="percentOfTotal" baseField="10" baseItem="0" numFmtId="10"/>
  </dataFields>
  <formats count="25">
    <format>
      <pivotArea outline="0" collapsedLevelsAreSubtotals="1" fieldPosition="0"/>
    </format>
    <format>
      <pivotArea type="all" dataOnly="0" outline="0" fieldPosition="0"/>
    </format>
    <format>
      <pivotArea outline="0" collapsedLevelsAreSubtotals="1" fieldPosition="0"/>
    </format>
    <format>
      <pivotArea field="10" type="button" dataOnly="0" labelOnly="1" outline="0" axis="axisRow" fieldPosition="0"/>
    </format>
    <format>
      <pivotArea dataOnly="0" labelOnly="1" fieldPosition="0">
        <references count="1">
          <reference field="10" count="12">
            <x v="1"/>
            <x v="2"/>
            <x v="3"/>
            <x v="4"/>
            <x v="5"/>
            <x v="6"/>
            <x v="7"/>
            <x v="8"/>
            <x v="9"/>
            <x v="10"/>
            <x v="11"/>
            <x v="12"/>
          </reference>
        </references>
      </pivotArea>
    </format>
    <format>
      <pivotArea dataOnly="0" labelOnly="1" outline="0" axis="axisValues" fieldPosition="0"/>
    </format>
    <format>
      <pivotArea type="all" dataOnly="0" outline="0" fieldPosition="0"/>
    </format>
    <format>
      <pivotArea outline="0" collapsedLevelsAreSubtotals="1" fieldPosition="0"/>
    </format>
    <format>
      <pivotArea field="10" type="button" dataOnly="0" labelOnly="1" outline="0" axis="axisRow" fieldPosition="0"/>
    </format>
    <format>
      <pivotArea dataOnly="0" labelOnly="1" fieldPosition="0">
        <references count="1">
          <reference field="10" count="12">
            <x v="1"/>
            <x v="2"/>
            <x v="3"/>
            <x v="4"/>
            <x v="5"/>
            <x v="6"/>
            <x v="7"/>
            <x v="8"/>
            <x v="9"/>
            <x v="10"/>
            <x v="11"/>
            <x v="12"/>
          </reference>
        </references>
      </pivotArea>
    </format>
    <format>
      <pivotArea dataOnly="0" labelOnly="1" outline="0" axis="axisValues" fieldPosition="0"/>
    </format>
    <format>
      <pivotArea outline="0" collapsedLevelsAreSubtotals="1" fieldPosition="0"/>
    </format>
    <format>
      <pivotArea collapsedLevelsAreSubtotals="1" fieldPosition="0">
        <references count="1">
          <reference field="10" count="1">
            <x v="1"/>
          </reference>
        </references>
      </pivotArea>
    </format>
    <format>
      <pivotArea collapsedLevelsAreSubtotals="1" fieldPosition="0">
        <references count="1">
          <reference field="10" count="1">
            <x v="2"/>
          </reference>
        </references>
      </pivotArea>
    </format>
    <format>
      <pivotArea collapsedLevelsAreSubtotals="1" fieldPosition="0">
        <references count="1">
          <reference field="10" count="1">
            <x v="3"/>
          </reference>
        </references>
      </pivotArea>
    </format>
    <format>
      <pivotArea collapsedLevelsAreSubtotals="1" fieldPosition="0">
        <references count="1">
          <reference field="10" count="1">
            <x v="4"/>
          </reference>
        </references>
      </pivotArea>
    </format>
    <format>
      <pivotArea collapsedLevelsAreSubtotals="1" fieldPosition="0">
        <references count="1">
          <reference field="10" count="1">
            <x v="5"/>
          </reference>
        </references>
      </pivotArea>
    </format>
    <format>
      <pivotArea collapsedLevelsAreSubtotals="1" fieldPosition="0">
        <references count="1">
          <reference field="10" count="1">
            <x v="6"/>
          </reference>
        </references>
      </pivotArea>
    </format>
    <format>
      <pivotArea collapsedLevelsAreSubtotals="1" fieldPosition="0">
        <references count="1">
          <reference field="10" count="1">
            <x v="7"/>
          </reference>
        </references>
      </pivotArea>
    </format>
    <format>
      <pivotArea collapsedLevelsAreSubtotals="1" fieldPosition="0">
        <references count="1">
          <reference field="10" count="1">
            <x v="8"/>
          </reference>
        </references>
      </pivotArea>
    </format>
    <format>
      <pivotArea collapsedLevelsAreSubtotals="1" fieldPosition="0">
        <references count="1">
          <reference field="10" count="1">
            <x v="9"/>
          </reference>
        </references>
      </pivotArea>
    </format>
    <format>
      <pivotArea collapsedLevelsAreSubtotals="1" fieldPosition="0">
        <references count="1">
          <reference field="10" count="1">
            <x v="10"/>
          </reference>
        </references>
      </pivotArea>
    </format>
    <format>
      <pivotArea collapsedLevelsAreSubtotals="1" fieldPosition="0">
        <references count="1">
          <reference field="10" count="1">
            <x v="11"/>
          </reference>
        </references>
      </pivotArea>
    </format>
    <format>
      <pivotArea collapsedLevelsAreSubtotals="1" fieldPosition="0">
        <references count="1">
          <reference field="10" count="1">
            <x v="12"/>
          </reference>
        </references>
      </pivotArea>
    </format>
    <format dxfId="11">
      <pivotArea outline="0" fieldPosition="0">
        <references count="1">
          <reference field="4294967294" count="1">
            <x v="0"/>
          </reference>
        </references>
      </pivotArea>
    </format>
  </formats>
  <chartFormats count="1">
    <chartFormat chart="3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13AAABA-AE6F-40AA-8B2A-25894F818482}" name="Sum Of Unit price per 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B1:CC6" firstHeaderRow="1" firstDataRow="1" firstDataCol="1"/>
  <pivotFields count="9">
    <pivotField showAll="0"/>
    <pivotField showAll="0"/>
    <pivotField axis="axisRow" showAll="0">
      <items count="5">
        <item x="3"/>
        <item x="1"/>
        <item x="0"/>
        <item x="2"/>
        <item t="default"/>
      </items>
    </pivotField>
    <pivotField showAll="0"/>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Unit Price" fld="7" baseField="0" baseItem="0" numFmtId="164"/>
  </dataFields>
  <formats count="1">
    <format dxfId="1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281A9B-191C-4C6B-9A13-D3C5EFD76085}" sourceName="Region">
  <pivotTables>
    <pivotTable tabId="2" name="Sum Of Q per Reguon"/>
    <pivotTable tabId="2" name="Avarage of categgory per region"/>
    <pivotTable tabId="2" name="Total Sales for each region per Date "/>
    <pivotTable tabId="2" name="Total Sales per region"/>
    <pivotTable tabId="2" name="PivotTable9"/>
    <pivotTable tabId="2" name="PivotTable10"/>
  </pivotTables>
  <data>
    <tabular pivotCacheId="1964160093" customListSort="0" crossFilter="none">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0B3898A0-BCC9-4D3E-8A22-D38EFF2B0351}" sourceName="Sales Rep">
  <pivotTables>
    <pivotTable tabId="2" name="Total Sales for each region per Date "/>
    <pivotTable tabId="2" name="Sum of Q per Date for each sales rep"/>
    <pivotTable tabId="2" name="time ser"/>
  </pivotTables>
  <data>
    <tabular pivotCacheId="1964160093">
      <items count="8">
        <i x="6" s="1"/>
        <i x="4" s="1"/>
        <i x="7" s="1"/>
        <i x="2" s="1"/>
        <i x="5"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4716A24-00EC-4554-A86C-7822D20988AC}" sourceName="Product">
  <pivotTables>
    <pivotTable tabId="2" name="count of order and total sales prodct"/>
    <pivotTable tabId="2" name="PivotTable3"/>
  </pivotTables>
  <data>
    <tabular pivotCacheId="1050011281">
      <items count="10">
        <i x="0" s="1"/>
        <i x="5" s="1"/>
        <i x="3" s="1"/>
        <i x="9" s="1"/>
        <i x="7" s="1"/>
        <i x="2" s="1"/>
        <i x="6" s="1"/>
        <i x="1" s="1"/>
        <i x="8"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0D97315-B66D-48EA-B71F-F94F3AFC6AC4}" sourceName="Category">
  <pivotTables>
    <pivotTable tabId="2" name="Total Sales By category"/>
    <pivotTable tabId="2" name="Quantity  per category"/>
  </pivotTables>
  <data>
    <tabular pivotCacheId="196416009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EFFA308C-04DC-44BD-92C0-3F434B862625}" cache="Slicer_Region" caption="Region" columnCount="2" style="Slicer Style 2" rowHeight="251883"/>
  <slicer name="Sales Rep 5" xr10:uid="{A8B5C885-1760-4AFE-9922-1E062104CC62}" cache="Slicer_Sales_Rep" caption="Sales Rep" columnCount="2" style="Slicer Style 2" rowHeight="251883"/>
  <slicer name="Product 5" xr10:uid="{268EB49B-5CE1-45E7-9285-8379DF6A43EF}" cache="Slicer_Product" caption="Product" columnCount="2" style="Slicer Style 2" rowHeight="251883"/>
  <slicer name="Category 3" xr10:uid="{DB1EC1A3-1C59-416A-97E9-31FB59EAFB1D}" cache="Slicer_Category" caption="Category" style="Slicer Style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CD4001F5-997F-43E5-ACBB-900606A5E6AF}" cache="Slicer_Region" caption="Region" columnCount="2" style="Slicer Style 2" rowHeight="251883"/>
  <slicer name="Sales Rep 6" xr10:uid="{86705906-031B-42F0-B453-B0A9CE1E22EA}" cache="Slicer_Sales_Rep" caption="Sales Rep" columnCount="2" style="Slicer Style 2" rowHeight="251883"/>
  <slicer name="Product 6" xr10:uid="{5611A423-5E27-46AD-9C79-E5A684E1C30F}" cache="Slicer_Product" caption="Product" columnCount="2" style="Slicer Style 2" rowHeight="251883"/>
  <slicer name="Category 4" xr10:uid="{7B5AC551-55AE-4628-A34D-7D0509773EE9}" cache="Slicer_Category" caption="Category" startItem="2" style="Slicer Style 2"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7" xr10:uid="{CA6CAF26-A1CD-45C9-BE8E-DD49DC950BF0}" cache="Slicer_Region" caption="Region" columnCount="2" style="Slicer Style 2" rowHeight="251883"/>
  <slicer name="Sales Rep 7" xr10:uid="{1CD3C990-F3EF-44E7-92D6-9A5997EE32DF}" cache="Slicer_Sales_Rep" caption="Sales Rep" columnCount="2" style="Slicer Style 2" rowHeight="251883"/>
  <slicer name="Category 5" xr10:uid="{FBFE1226-1851-4E1F-BD86-7DDD114A88EA}" cache="Slicer_Category" caption="Category" style="Slicer Style 2"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DDF6389-6E91-49F3-BA32-A5A751B938F3}" cache="Slicer_Region" caption="Region" columnCount="2" style="Slicer Style 2" rowHeight="251883"/>
  <slicer name="Sales Rep 4" xr10:uid="{46CD8105-7181-4960-9015-B6FDC21BE18B}" cache="Slicer_Sales_Rep" caption="Sales Rep" columnCount="2" style="Slicer Style 2" rowHeight="251883"/>
  <slicer name="Product 4" xr10:uid="{A6969ABF-639E-4CDE-8FC8-A0AB01E385B1}" cache="Slicer_Product" caption="Product" columnCount="2" style="Slicer Style 2" rowHeight="251883"/>
  <slicer name="Category 2" xr10:uid="{44CE4595-8830-4359-BDD4-B634F8F0BF34}" cache="Slicer_Category" caption="Category" style="Slicer Style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ACB4DF-1EC8-4D9F-81FD-A781E9C33A62}" name="Table1" displayName="Table1" ref="A1:I101" totalsRowShown="0">
  <autoFilter ref="A1:I101" xr:uid="{8DACB4DF-1EC8-4D9F-81FD-A781E9C33A62}"/>
  <tableColumns count="9">
    <tableColumn id="1" xr3:uid="{39232473-0171-478C-82B7-D0CB86588550}" name="Order ID"/>
    <tableColumn id="2" xr3:uid="{BA1C1C9E-7BA2-4E25-9BE3-A9CF56EFDD9F}" name="Date"/>
    <tableColumn id="3" xr3:uid="{93B74AE8-339E-4E09-849E-8E4C2DA7FB5A}" name="Region"/>
    <tableColumn id="4" xr3:uid="{421C6587-9510-4166-B74C-D3B896652A30}" name="Sales Rep"/>
    <tableColumn id="5" xr3:uid="{2A8DFC4F-3CF2-42EA-9E80-09E51059F419}" name="Product"/>
    <tableColumn id="6" xr3:uid="{9FD7A56B-EEBE-4D4F-ADA6-EA694AB53EAB}" name="Category"/>
    <tableColumn id="7" xr3:uid="{E2D839E8-D565-4602-8543-B22FB900BC47}" name="Quantity"/>
    <tableColumn id="8" xr3:uid="{5F45725F-B3F6-492E-91D6-6F9E2C84F573}" name="Unit Price"/>
    <tableColumn id="9" xr3:uid="{DA721D66-3BD2-4B8C-99A7-41335F461A34}" name="Total Sale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506BE4D-5A4E-4794-9D11-6AEDCD5E689A}" sourceName="Date">
  <pivotTables>
    <pivotTable tabId="2" name="time ser"/>
  </pivotTables>
  <state minimalRefreshVersion="6" lastRefreshVersion="6" pivotCacheId="1964160093" filterType="dateBetween">
    <selection startDate="2024-01-01T00:00:00" endDate="2024-05-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8729CEF-A636-4B67-92C7-4A04D2065EF2}" cache="NativeTimeline_Date" caption="Date" level="2" selectionLevel="2" scrollPosition="2024-01-01T00:00:00" style="TimeSlicerStyleDark6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2E922-4115-4E9A-B183-FF2FE34C5EDA}">
  <dimension ref="A1:I101"/>
  <sheetViews>
    <sheetView topLeftCell="A16" zoomScale="115" zoomScaleNormal="115" workbookViewId="0">
      <selection activeCell="I1" sqref="I1"/>
    </sheetView>
  </sheetViews>
  <sheetFormatPr defaultRowHeight="18" x14ac:dyDescent="0.4"/>
  <cols>
    <col min="1" max="1" width="9.35546875" bestFit="1" customWidth="1"/>
    <col min="2" max="2" width="11.42578125" bestFit="1" customWidth="1"/>
    <col min="3" max="3" width="5.5703125" bestFit="1" customWidth="1"/>
    <col min="4" max="4" width="12.5703125" bestFit="1" customWidth="1"/>
    <col min="5" max="5" width="11" bestFit="1" customWidth="1"/>
    <col min="6" max="6" width="10.7109375" bestFit="1" customWidth="1"/>
    <col min="7" max="7" width="2.92578125" bestFit="1" customWidth="1"/>
    <col min="8" max="8" width="4.5703125" bestFit="1" customWidth="1"/>
    <col min="9" max="9" width="5.5703125" bestFit="1" customWidth="1"/>
  </cols>
  <sheetData>
    <row r="1" spans="1:9" x14ac:dyDescent="0.4">
      <c r="A1" t="s">
        <v>0</v>
      </c>
      <c r="B1" t="s">
        <v>1</v>
      </c>
      <c r="C1" t="s">
        <v>2</v>
      </c>
      <c r="D1" t="s">
        <v>3</v>
      </c>
      <c r="E1" t="s">
        <v>4</v>
      </c>
      <c r="F1" t="s">
        <v>5</v>
      </c>
      <c r="G1" t="s">
        <v>6</v>
      </c>
      <c r="H1" t="s">
        <v>7</v>
      </c>
      <c r="I1" t="s">
        <v>8</v>
      </c>
    </row>
    <row r="2" spans="1:9" x14ac:dyDescent="0.4">
      <c r="A2" t="s">
        <v>9</v>
      </c>
      <c r="B2">
        <v>45446</v>
      </c>
      <c r="C2" t="s">
        <v>10</v>
      </c>
      <c r="D2" t="s">
        <v>11</v>
      </c>
      <c r="E2" t="s">
        <v>12</v>
      </c>
      <c r="F2" t="s">
        <v>13</v>
      </c>
      <c r="G2">
        <v>5</v>
      </c>
      <c r="H2">
        <v>350</v>
      </c>
      <c r="I2">
        <v>1750</v>
      </c>
    </row>
    <row r="3" spans="1:9" x14ac:dyDescent="0.4">
      <c r="A3" t="s">
        <v>14</v>
      </c>
      <c r="B3">
        <v>45452</v>
      </c>
      <c r="C3" t="s">
        <v>15</v>
      </c>
      <c r="D3" t="s">
        <v>16</v>
      </c>
      <c r="E3" t="s">
        <v>17</v>
      </c>
      <c r="F3" t="s">
        <v>18</v>
      </c>
      <c r="G3">
        <v>5</v>
      </c>
      <c r="H3">
        <v>800</v>
      </c>
      <c r="I3">
        <v>4000</v>
      </c>
    </row>
    <row r="4" spans="1:9" x14ac:dyDescent="0.4">
      <c r="A4" t="s">
        <v>19</v>
      </c>
      <c r="B4">
        <v>45384</v>
      </c>
      <c r="C4" t="s">
        <v>15</v>
      </c>
      <c r="D4" t="s">
        <v>16</v>
      </c>
      <c r="E4" t="s">
        <v>20</v>
      </c>
      <c r="F4" t="s">
        <v>18</v>
      </c>
      <c r="G4">
        <v>10</v>
      </c>
      <c r="H4">
        <v>300</v>
      </c>
      <c r="I4">
        <v>3000</v>
      </c>
    </row>
    <row r="5" spans="1:9" x14ac:dyDescent="0.4">
      <c r="A5" t="s">
        <v>21</v>
      </c>
      <c r="B5">
        <v>45405</v>
      </c>
      <c r="C5" t="s">
        <v>15</v>
      </c>
      <c r="D5" t="s">
        <v>22</v>
      </c>
      <c r="E5" t="s">
        <v>23</v>
      </c>
      <c r="F5" t="s">
        <v>24</v>
      </c>
      <c r="G5">
        <v>9</v>
      </c>
      <c r="H5">
        <v>120</v>
      </c>
      <c r="I5">
        <v>1080</v>
      </c>
    </row>
    <row r="6" spans="1:9" x14ac:dyDescent="0.4">
      <c r="A6" t="s">
        <v>25</v>
      </c>
      <c r="B6">
        <v>45518</v>
      </c>
      <c r="C6" t="s">
        <v>26</v>
      </c>
      <c r="D6" t="s">
        <v>27</v>
      </c>
      <c r="E6" t="s">
        <v>28</v>
      </c>
      <c r="F6" t="s">
        <v>18</v>
      </c>
      <c r="G6">
        <v>5</v>
      </c>
      <c r="H6">
        <v>450</v>
      </c>
      <c r="I6">
        <v>2250</v>
      </c>
    </row>
    <row r="7" spans="1:9" x14ac:dyDescent="0.4">
      <c r="A7" t="s">
        <v>29</v>
      </c>
      <c r="B7">
        <v>45560</v>
      </c>
      <c r="C7" t="s">
        <v>30</v>
      </c>
      <c r="D7" t="s">
        <v>31</v>
      </c>
      <c r="E7" t="s">
        <v>32</v>
      </c>
      <c r="F7" t="s">
        <v>13</v>
      </c>
      <c r="G7">
        <v>9</v>
      </c>
      <c r="H7">
        <v>500</v>
      </c>
      <c r="I7">
        <v>4500</v>
      </c>
    </row>
    <row r="8" spans="1:9" x14ac:dyDescent="0.4">
      <c r="A8" t="s">
        <v>33</v>
      </c>
      <c r="B8">
        <v>45630</v>
      </c>
      <c r="C8" t="s">
        <v>26</v>
      </c>
      <c r="D8" t="s">
        <v>34</v>
      </c>
      <c r="E8" t="s">
        <v>23</v>
      </c>
      <c r="F8" t="s">
        <v>24</v>
      </c>
      <c r="G8">
        <v>2</v>
      </c>
      <c r="H8">
        <v>120</v>
      </c>
      <c r="I8">
        <v>240</v>
      </c>
    </row>
    <row r="9" spans="1:9" x14ac:dyDescent="0.4">
      <c r="A9" t="s">
        <v>35</v>
      </c>
      <c r="B9">
        <v>45602</v>
      </c>
      <c r="C9" t="s">
        <v>26</v>
      </c>
      <c r="D9" t="s">
        <v>27</v>
      </c>
      <c r="E9" t="s">
        <v>32</v>
      </c>
      <c r="F9" t="s">
        <v>13</v>
      </c>
      <c r="G9">
        <v>1</v>
      </c>
      <c r="H9">
        <v>500</v>
      </c>
      <c r="I9">
        <v>500</v>
      </c>
    </row>
    <row r="10" spans="1:9" x14ac:dyDescent="0.4">
      <c r="A10" t="s">
        <v>36</v>
      </c>
      <c r="B10">
        <v>45437</v>
      </c>
      <c r="C10" t="s">
        <v>10</v>
      </c>
      <c r="D10" t="s">
        <v>11</v>
      </c>
      <c r="E10" t="s">
        <v>23</v>
      </c>
      <c r="F10" t="s">
        <v>24</v>
      </c>
      <c r="G10">
        <v>10</v>
      </c>
      <c r="H10">
        <v>120</v>
      </c>
      <c r="I10">
        <v>1200</v>
      </c>
    </row>
    <row r="11" spans="1:9" x14ac:dyDescent="0.4">
      <c r="A11" t="s">
        <v>37</v>
      </c>
      <c r="B11">
        <v>45430</v>
      </c>
      <c r="C11" t="s">
        <v>10</v>
      </c>
      <c r="D11" t="s">
        <v>11</v>
      </c>
      <c r="E11" t="s">
        <v>17</v>
      </c>
      <c r="F11" t="s">
        <v>18</v>
      </c>
      <c r="G11">
        <v>9</v>
      </c>
      <c r="H11">
        <v>800</v>
      </c>
      <c r="I11">
        <v>7200</v>
      </c>
    </row>
    <row r="12" spans="1:9" x14ac:dyDescent="0.4">
      <c r="A12" t="s">
        <v>38</v>
      </c>
      <c r="B12">
        <v>45653</v>
      </c>
      <c r="C12" t="s">
        <v>26</v>
      </c>
      <c r="D12" t="s">
        <v>27</v>
      </c>
      <c r="E12" t="s">
        <v>39</v>
      </c>
      <c r="F12" t="s">
        <v>24</v>
      </c>
      <c r="G12">
        <v>1</v>
      </c>
      <c r="H12">
        <v>45</v>
      </c>
      <c r="I12">
        <v>45</v>
      </c>
    </row>
    <row r="13" spans="1:9" x14ac:dyDescent="0.4">
      <c r="A13" t="s">
        <v>40</v>
      </c>
      <c r="B13">
        <v>45570</v>
      </c>
      <c r="C13" t="s">
        <v>10</v>
      </c>
      <c r="D13" t="s">
        <v>41</v>
      </c>
      <c r="E13" t="s">
        <v>39</v>
      </c>
      <c r="F13" t="s">
        <v>24</v>
      </c>
      <c r="G13">
        <v>3</v>
      </c>
      <c r="H13">
        <v>45</v>
      </c>
      <c r="I13">
        <v>135</v>
      </c>
    </row>
    <row r="14" spans="1:9" x14ac:dyDescent="0.4">
      <c r="A14" t="s">
        <v>42</v>
      </c>
      <c r="B14">
        <v>45523</v>
      </c>
      <c r="C14" t="s">
        <v>26</v>
      </c>
      <c r="D14" t="s">
        <v>34</v>
      </c>
      <c r="E14" t="s">
        <v>17</v>
      </c>
      <c r="F14" t="s">
        <v>18</v>
      </c>
      <c r="G14">
        <v>9</v>
      </c>
      <c r="H14">
        <v>800</v>
      </c>
      <c r="I14">
        <v>7200</v>
      </c>
    </row>
    <row r="15" spans="1:9" x14ac:dyDescent="0.4">
      <c r="A15" t="s">
        <v>43</v>
      </c>
      <c r="B15">
        <v>45340</v>
      </c>
      <c r="C15" t="s">
        <v>15</v>
      </c>
      <c r="D15" t="s">
        <v>22</v>
      </c>
      <c r="E15" t="s">
        <v>32</v>
      </c>
      <c r="F15" t="s">
        <v>13</v>
      </c>
      <c r="G15">
        <v>3</v>
      </c>
      <c r="H15">
        <v>500</v>
      </c>
      <c r="I15">
        <v>1500</v>
      </c>
    </row>
    <row r="16" spans="1:9" x14ac:dyDescent="0.4">
      <c r="A16" t="s">
        <v>44</v>
      </c>
      <c r="B16">
        <v>45335</v>
      </c>
      <c r="C16" t="s">
        <v>15</v>
      </c>
      <c r="D16" t="s">
        <v>16</v>
      </c>
      <c r="E16" t="s">
        <v>28</v>
      </c>
      <c r="F16" t="s">
        <v>18</v>
      </c>
      <c r="G16">
        <v>5</v>
      </c>
      <c r="H16">
        <v>450</v>
      </c>
      <c r="I16">
        <v>2250</v>
      </c>
    </row>
    <row r="17" spans="1:9" x14ac:dyDescent="0.4">
      <c r="A17" t="s">
        <v>45</v>
      </c>
      <c r="B17">
        <v>45347</v>
      </c>
      <c r="C17" t="s">
        <v>30</v>
      </c>
      <c r="D17" t="s">
        <v>46</v>
      </c>
      <c r="E17" t="s">
        <v>47</v>
      </c>
      <c r="F17" t="s">
        <v>18</v>
      </c>
      <c r="G17">
        <v>4</v>
      </c>
      <c r="H17">
        <v>1200</v>
      </c>
      <c r="I17">
        <v>4800</v>
      </c>
    </row>
    <row r="18" spans="1:9" x14ac:dyDescent="0.4">
      <c r="A18" t="s">
        <v>48</v>
      </c>
      <c r="B18">
        <v>45307</v>
      </c>
      <c r="C18" t="s">
        <v>15</v>
      </c>
      <c r="D18" t="s">
        <v>22</v>
      </c>
      <c r="E18" t="s">
        <v>49</v>
      </c>
      <c r="F18" t="s">
        <v>18</v>
      </c>
      <c r="G18">
        <v>2</v>
      </c>
      <c r="H18">
        <v>250</v>
      </c>
      <c r="I18">
        <v>500</v>
      </c>
    </row>
    <row r="19" spans="1:9" x14ac:dyDescent="0.4">
      <c r="A19" t="s">
        <v>50</v>
      </c>
      <c r="B19">
        <v>45296</v>
      </c>
      <c r="C19" t="s">
        <v>15</v>
      </c>
      <c r="D19" t="s">
        <v>22</v>
      </c>
      <c r="E19" t="s">
        <v>39</v>
      </c>
      <c r="F19" t="s">
        <v>24</v>
      </c>
      <c r="G19">
        <v>4</v>
      </c>
      <c r="H19">
        <v>45</v>
      </c>
      <c r="I19">
        <v>180</v>
      </c>
    </row>
    <row r="20" spans="1:9" x14ac:dyDescent="0.4">
      <c r="A20" t="s">
        <v>51</v>
      </c>
      <c r="B20">
        <v>45535</v>
      </c>
      <c r="C20" t="s">
        <v>15</v>
      </c>
      <c r="D20" t="s">
        <v>22</v>
      </c>
      <c r="E20" t="s">
        <v>39</v>
      </c>
      <c r="F20" t="s">
        <v>24</v>
      </c>
      <c r="G20">
        <v>7</v>
      </c>
      <c r="H20">
        <v>45</v>
      </c>
      <c r="I20">
        <v>315</v>
      </c>
    </row>
    <row r="21" spans="1:9" x14ac:dyDescent="0.4">
      <c r="A21" t="s">
        <v>52</v>
      </c>
      <c r="B21">
        <v>45380</v>
      </c>
      <c r="C21" t="s">
        <v>26</v>
      </c>
      <c r="D21" t="s">
        <v>34</v>
      </c>
      <c r="E21" t="s">
        <v>28</v>
      </c>
      <c r="F21" t="s">
        <v>18</v>
      </c>
      <c r="G21">
        <v>3</v>
      </c>
      <c r="H21">
        <v>450</v>
      </c>
      <c r="I21">
        <v>1350</v>
      </c>
    </row>
    <row r="22" spans="1:9" x14ac:dyDescent="0.4">
      <c r="A22" t="s">
        <v>53</v>
      </c>
      <c r="B22">
        <v>45549</v>
      </c>
      <c r="C22" t="s">
        <v>10</v>
      </c>
      <c r="D22" t="s">
        <v>11</v>
      </c>
      <c r="E22" t="s">
        <v>17</v>
      </c>
      <c r="F22" t="s">
        <v>18</v>
      </c>
      <c r="G22">
        <v>3</v>
      </c>
      <c r="H22">
        <v>800</v>
      </c>
      <c r="I22">
        <v>2400</v>
      </c>
    </row>
    <row r="23" spans="1:9" x14ac:dyDescent="0.4">
      <c r="A23" t="s">
        <v>54</v>
      </c>
      <c r="B23">
        <v>45510</v>
      </c>
      <c r="C23" t="s">
        <v>30</v>
      </c>
      <c r="D23" t="s">
        <v>46</v>
      </c>
      <c r="E23" t="s">
        <v>39</v>
      </c>
      <c r="F23" t="s">
        <v>24</v>
      </c>
      <c r="G23">
        <v>5</v>
      </c>
      <c r="H23">
        <v>45</v>
      </c>
      <c r="I23">
        <v>225</v>
      </c>
    </row>
    <row r="24" spans="1:9" x14ac:dyDescent="0.4">
      <c r="A24" t="s">
        <v>55</v>
      </c>
      <c r="B24">
        <v>45637</v>
      </c>
      <c r="C24" t="s">
        <v>15</v>
      </c>
      <c r="D24" t="s">
        <v>16</v>
      </c>
      <c r="E24" t="s">
        <v>32</v>
      </c>
      <c r="F24" t="s">
        <v>13</v>
      </c>
      <c r="G24">
        <v>10</v>
      </c>
      <c r="H24">
        <v>500</v>
      </c>
      <c r="I24">
        <v>5000</v>
      </c>
    </row>
    <row r="25" spans="1:9" x14ac:dyDescent="0.4">
      <c r="A25" t="s">
        <v>56</v>
      </c>
      <c r="B25">
        <v>45506</v>
      </c>
      <c r="C25" t="s">
        <v>30</v>
      </c>
      <c r="D25" t="s">
        <v>46</v>
      </c>
      <c r="E25" t="s">
        <v>47</v>
      </c>
      <c r="F25" t="s">
        <v>18</v>
      </c>
      <c r="G25">
        <v>7</v>
      </c>
      <c r="H25">
        <v>1200</v>
      </c>
      <c r="I25">
        <v>8400</v>
      </c>
    </row>
    <row r="26" spans="1:9" x14ac:dyDescent="0.4">
      <c r="A26" t="s">
        <v>57</v>
      </c>
      <c r="B26">
        <v>45367</v>
      </c>
      <c r="C26" t="s">
        <v>30</v>
      </c>
      <c r="D26" t="s">
        <v>46</v>
      </c>
      <c r="E26" t="s">
        <v>28</v>
      </c>
      <c r="F26" t="s">
        <v>18</v>
      </c>
      <c r="G26">
        <v>10</v>
      </c>
      <c r="H26">
        <v>450</v>
      </c>
      <c r="I26">
        <v>4500</v>
      </c>
    </row>
    <row r="27" spans="1:9" x14ac:dyDescent="0.4">
      <c r="A27" t="s">
        <v>58</v>
      </c>
      <c r="B27">
        <v>45622</v>
      </c>
      <c r="C27" t="s">
        <v>30</v>
      </c>
      <c r="D27" t="s">
        <v>31</v>
      </c>
      <c r="E27" t="s">
        <v>47</v>
      </c>
      <c r="F27" t="s">
        <v>18</v>
      </c>
      <c r="G27">
        <v>6</v>
      </c>
      <c r="H27">
        <v>1200</v>
      </c>
      <c r="I27">
        <v>7200</v>
      </c>
    </row>
    <row r="28" spans="1:9" x14ac:dyDescent="0.4">
      <c r="A28" t="s">
        <v>59</v>
      </c>
      <c r="B28">
        <v>45523</v>
      </c>
      <c r="C28" t="s">
        <v>15</v>
      </c>
      <c r="D28" t="s">
        <v>16</v>
      </c>
      <c r="E28" t="s">
        <v>23</v>
      </c>
      <c r="F28" t="s">
        <v>24</v>
      </c>
      <c r="G28">
        <v>6</v>
      </c>
      <c r="H28">
        <v>120</v>
      </c>
      <c r="I28">
        <v>720</v>
      </c>
    </row>
    <row r="29" spans="1:9" x14ac:dyDescent="0.4">
      <c r="A29" t="s">
        <v>60</v>
      </c>
      <c r="B29">
        <v>45374</v>
      </c>
      <c r="C29" t="s">
        <v>15</v>
      </c>
      <c r="D29" t="s">
        <v>16</v>
      </c>
      <c r="E29" t="s">
        <v>23</v>
      </c>
      <c r="F29" t="s">
        <v>24</v>
      </c>
      <c r="G29">
        <v>4</v>
      </c>
      <c r="H29">
        <v>120</v>
      </c>
      <c r="I29">
        <v>480</v>
      </c>
    </row>
    <row r="30" spans="1:9" x14ac:dyDescent="0.4">
      <c r="A30" t="s">
        <v>61</v>
      </c>
      <c r="B30">
        <v>45334</v>
      </c>
      <c r="C30" t="s">
        <v>15</v>
      </c>
      <c r="D30" t="s">
        <v>22</v>
      </c>
      <c r="E30" t="s">
        <v>17</v>
      </c>
      <c r="F30" t="s">
        <v>18</v>
      </c>
      <c r="G30">
        <v>5</v>
      </c>
      <c r="H30">
        <v>800</v>
      </c>
      <c r="I30">
        <v>4000</v>
      </c>
    </row>
    <row r="31" spans="1:9" x14ac:dyDescent="0.4">
      <c r="A31" t="s">
        <v>62</v>
      </c>
      <c r="B31">
        <v>45335</v>
      </c>
      <c r="C31" t="s">
        <v>26</v>
      </c>
      <c r="D31" t="s">
        <v>27</v>
      </c>
      <c r="E31" t="s">
        <v>28</v>
      </c>
      <c r="F31" t="s">
        <v>18</v>
      </c>
      <c r="G31">
        <v>6</v>
      </c>
      <c r="H31">
        <v>450</v>
      </c>
      <c r="I31">
        <v>2700</v>
      </c>
    </row>
    <row r="32" spans="1:9" x14ac:dyDescent="0.4">
      <c r="A32" t="s">
        <v>63</v>
      </c>
      <c r="B32">
        <v>45303</v>
      </c>
      <c r="C32" t="s">
        <v>15</v>
      </c>
      <c r="D32" t="s">
        <v>22</v>
      </c>
      <c r="E32" t="s">
        <v>39</v>
      </c>
      <c r="F32" t="s">
        <v>24</v>
      </c>
      <c r="G32">
        <v>10</v>
      </c>
      <c r="H32">
        <v>45</v>
      </c>
      <c r="I32">
        <v>450</v>
      </c>
    </row>
    <row r="33" spans="1:9" x14ac:dyDescent="0.4">
      <c r="A33" t="s">
        <v>64</v>
      </c>
      <c r="B33">
        <v>45596</v>
      </c>
      <c r="C33" t="s">
        <v>15</v>
      </c>
      <c r="D33" t="s">
        <v>16</v>
      </c>
      <c r="E33" t="s">
        <v>17</v>
      </c>
      <c r="F33" t="s">
        <v>18</v>
      </c>
      <c r="G33">
        <v>2</v>
      </c>
      <c r="H33">
        <v>800</v>
      </c>
      <c r="I33">
        <v>1600</v>
      </c>
    </row>
    <row r="34" spans="1:9" x14ac:dyDescent="0.4">
      <c r="A34" t="s">
        <v>65</v>
      </c>
      <c r="B34">
        <v>45539</v>
      </c>
      <c r="C34" t="s">
        <v>10</v>
      </c>
      <c r="D34" t="s">
        <v>11</v>
      </c>
      <c r="E34" t="s">
        <v>49</v>
      </c>
      <c r="F34" t="s">
        <v>18</v>
      </c>
      <c r="G34">
        <v>8</v>
      </c>
      <c r="H34">
        <v>250</v>
      </c>
      <c r="I34">
        <v>2000</v>
      </c>
    </row>
    <row r="35" spans="1:9" x14ac:dyDescent="0.4">
      <c r="A35" t="s">
        <v>66</v>
      </c>
      <c r="B35">
        <v>45640</v>
      </c>
      <c r="C35" t="s">
        <v>30</v>
      </c>
      <c r="D35" t="s">
        <v>46</v>
      </c>
      <c r="E35" t="s">
        <v>47</v>
      </c>
      <c r="F35" t="s">
        <v>18</v>
      </c>
      <c r="G35">
        <v>5</v>
      </c>
      <c r="H35">
        <v>1200</v>
      </c>
      <c r="I35">
        <v>6000</v>
      </c>
    </row>
    <row r="36" spans="1:9" x14ac:dyDescent="0.4">
      <c r="A36" t="s">
        <v>67</v>
      </c>
      <c r="B36">
        <v>45314</v>
      </c>
      <c r="C36" t="s">
        <v>10</v>
      </c>
      <c r="D36" t="s">
        <v>11</v>
      </c>
      <c r="E36" t="s">
        <v>12</v>
      </c>
      <c r="F36" t="s">
        <v>13</v>
      </c>
      <c r="G36">
        <v>10</v>
      </c>
      <c r="H36">
        <v>350</v>
      </c>
      <c r="I36">
        <v>3500</v>
      </c>
    </row>
    <row r="37" spans="1:9" x14ac:dyDescent="0.4">
      <c r="A37" t="s">
        <v>68</v>
      </c>
      <c r="B37">
        <v>45639</v>
      </c>
      <c r="C37" t="s">
        <v>15</v>
      </c>
      <c r="D37" t="s">
        <v>16</v>
      </c>
      <c r="E37" t="s">
        <v>39</v>
      </c>
      <c r="F37" t="s">
        <v>24</v>
      </c>
      <c r="G37">
        <v>9</v>
      </c>
      <c r="H37">
        <v>45</v>
      </c>
      <c r="I37">
        <v>405</v>
      </c>
    </row>
    <row r="38" spans="1:9" x14ac:dyDescent="0.4">
      <c r="A38" t="s">
        <v>69</v>
      </c>
      <c r="B38">
        <v>45649</v>
      </c>
      <c r="C38" t="s">
        <v>26</v>
      </c>
      <c r="D38" t="s">
        <v>27</v>
      </c>
      <c r="E38" t="s">
        <v>39</v>
      </c>
      <c r="F38" t="s">
        <v>24</v>
      </c>
      <c r="G38">
        <v>7</v>
      </c>
      <c r="H38">
        <v>45</v>
      </c>
      <c r="I38">
        <v>315</v>
      </c>
    </row>
    <row r="39" spans="1:9" x14ac:dyDescent="0.4">
      <c r="A39" t="s">
        <v>70</v>
      </c>
      <c r="B39">
        <v>45357</v>
      </c>
      <c r="C39" t="s">
        <v>30</v>
      </c>
      <c r="D39" t="s">
        <v>46</v>
      </c>
      <c r="E39" t="s">
        <v>12</v>
      </c>
      <c r="F39" t="s">
        <v>13</v>
      </c>
      <c r="G39">
        <v>5</v>
      </c>
      <c r="H39">
        <v>350</v>
      </c>
      <c r="I39">
        <v>1750</v>
      </c>
    </row>
    <row r="40" spans="1:9" x14ac:dyDescent="0.4">
      <c r="A40" t="s">
        <v>71</v>
      </c>
      <c r="B40">
        <v>45474</v>
      </c>
      <c r="C40" t="s">
        <v>10</v>
      </c>
      <c r="D40" t="s">
        <v>11</v>
      </c>
      <c r="E40" t="s">
        <v>47</v>
      </c>
      <c r="F40" t="s">
        <v>18</v>
      </c>
      <c r="G40">
        <v>10</v>
      </c>
      <c r="H40">
        <v>1200</v>
      </c>
      <c r="I40">
        <v>12000</v>
      </c>
    </row>
    <row r="41" spans="1:9" x14ac:dyDescent="0.4">
      <c r="A41" t="s">
        <v>72</v>
      </c>
      <c r="B41">
        <v>45478</v>
      </c>
      <c r="C41" t="s">
        <v>10</v>
      </c>
      <c r="D41" t="s">
        <v>41</v>
      </c>
      <c r="E41" t="s">
        <v>47</v>
      </c>
      <c r="F41" t="s">
        <v>18</v>
      </c>
      <c r="G41">
        <v>6</v>
      </c>
      <c r="H41">
        <v>1200</v>
      </c>
      <c r="I41">
        <v>7200</v>
      </c>
    </row>
    <row r="42" spans="1:9" x14ac:dyDescent="0.4">
      <c r="A42" t="s">
        <v>73</v>
      </c>
      <c r="B42">
        <v>45382</v>
      </c>
      <c r="C42" t="s">
        <v>26</v>
      </c>
      <c r="D42" t="s">
        <v>34</v>
      </c>
      <c r="E42" t="s">
        <v>28</v>
      </c>
      <c r="F42" t="s">
        <v>18</v>
      </c>
      <c r="G42">
        <v>5</v>
      </c>
      <c r="H42">
        <v>450</v>
      </c>
      <c r="I42">
        <v>2250</v>
      </c>
    </row>
    <row r="43" spans="1:9" x14ac:dyDescent="0.4">
      <c r="A43" t="s">
        <v>74</v>
      </c>
      <c r="B43">
        <v>45471</v>
      </c>
      <c r="C43" t="s">
        <v>15</v>
      </c>
      <c r="D43" t="s">
        <v>22</v>
      </c>
      <c r="E43" t="s">
        <v>17</v>
      </c>
      <c r="F43" t="s">
        <v>18</v>
      </c>
      <c r="G43">
        <v>5</v>
      </c>
      <c r="H43">
        <v>800</v>
      </c>
      <c r="I43">
        <v>4000</v>
      </c>
    </row>
    <row r="44" spans="1:9" x14ac:dyDescent="0.4">
      <c r="A44" t="s">
        <v>75</v>
      </c>
      <c r="B44">
        <v>45429</v>
      </c>
      <c r="C44" t="s">
        <v>30</v>
      </c>
      <c r="D44" t="s">
        <v>46</v>
      </c>
      <c r="E44" t="s">
        <v>76</v>
      </c>
      <c r="F44" t="s">
        <v>24</v>
      </c>
      <c r="G44">
        <v>3</v>
      </c>
      <c r="H44">
        <v>75</v>
      </c>
      <c r="I44">
        <v>225</v>
      </c>
    </row>
    <row r="45" spans="1:9" x14ac:dyDescent="0.4">
      <c r="A45" t="s">
        <v>77</v>
      </c>
      <c r="B45">
        <v>45394</v>
      </c>
      <c r="C45" t="s">
        <v>10</v>
      </c>
      <c r="D45" t="s">
        <v>41</v>
      </c>
      <c r="E45" t="s">
        <v>39</v>
      </c>
      <c r="F45" t="s">
        <v>24</v>
      </c>
      <c r="G45">
        <v>6</v>
      </c>
      <c r="H45">
        <v>45</v>
      </c>
      <c r="I45">
        <v>270</v>
      </c>
    </row>
    <row r="46" spans="1:9" x14ac:dyDescent="0.4">
      <c r="A46" t="s">
        <v>78</v>
      </c>
      <c r="B46">
        <v>45537</v>
      </c>
      <c r="C46" t="s">
        <v>26</v>
      </c>
      <c r="D46" t="s">
        <v>27</v>
      </c>
      <c r="E46" t="s">
        <v>12</v>
      </c>
      <c r="F46" t="s">
        <v>13</v>
      </c>
      <c r="G46">
        <v>8</v>
      </c>
      <c r="H46">
        <v>350</v>
      </c>
      <c r="I46">
        <v>2800</v>
      </c>
    </row>
    <row r="47" spans="1:9" x14ac:dyDescent="0.4">
      <c r="A47" t="s">
        <v>79</v>
      </c>
      <c r="B47">
        <v>45374</v>
      </c>
      <c r="C47" t="s">
        <v>30</v>
      </c>
      <c r="D47" t="s">
        <v>46</v>
      </c>
      <c r="E47" t="s">
        <v>32</v>
      </c>
      <c r="F47" t="s">
        <v>13</v>
      </c>
      <c r="G47">
        <v>4</v>
      </c>
      <c r="H47">
        <v>500</v>
      </c>
      <c r="I47">
        <v>2000</v>
      </c>
    </row>
    <row r="48" spans="1:9" x14ac:dyDescent="0.4">
      <c r="A48" t="s">
        <v>80</v>
      </c>
      <c r="B48">
        <v>45431</v>
      </c>
      <c r="C48" t="s">
        <v>26</v>
      </c>
      <c r="D48" t="s">
        <v>27</v>
      </c>
      <c r="E48" t="s">
        <v>47</v>
      </c>
      <c r="F48" t="s">
        <v>18</v>
      </c>
      <c r="G48">
        <v>2</v>
      </c>
      <c r="H48">
        <v>1200</v>
      </c>
      <c r="I48">
        <v>2400</v>
      </c>
    </row>
    <row r="49" spans="1:9" x14ac:dyDescent="0.4">
      <c r="A49" t="s">
        <v>81</v>
      </c>
      <c r="B49">
        <v>45626</v>
      </c>
      <c r="C49" t="s">
        <v>15</v>
      </c>
      <c r="D49" t="s">
        <v>22</v>
      </c>
      <c r="E49" t="s">
        <v>28</v>
      </c>
      <c r="F49" t="s">
        <v>18</v>
      </c>
      <c r="G49">
        <v>7</v>
      </c>
      <c r="H49">
        <v>450</v>
      </c>
      <c r="I49">
        <v>3150</v>
      </c>
    </row>
    <row r="50" spans="1:9" x14ac:dyDescent="0.4">
      <c r="A50" t="s">
        <v>82</v>
      </c>
      <c r="B50">
        <v>45306</v>
      </c>
      <c r="C50" t="s">
        <v>26</v>
      </c>
      <c r="D50" t="s">
        <v>34</v>
      </c>
      <c r="E50" t="s">
        <v>47</v>
      </c>
      <c r="F50" t="s">
        <v>18</v>
      </c>
      <c r="G50">
        <v>9</v>
      </c>
      <c r="H50">
        <v>1200</v>
      </c>
      <c r="I50">
        <v>10800</v>
      </c>
    </row>
    <row r="51" spans="1:9" x14ac:dyDescent="0.4">
      <c r="A51" t="s">
        <v>83</v>
      </c>
      <c r="B51">
        <v>45324</v>
      </c>
      <c r="C51" t="s">
        <v>15</v>
      </c>
      <c r="D51" t="s">
        <v>22</v>
      </c>
      <c r="E51" t="s">
        <v>47</v>
      </c>
      <c r="F51" t="s">
        <v>18</v>
      </c>
      <c r="G51">
        <v>4</v>
      </c>
      <c r="H51">
        <v>1200</v>
      </c>
      <c r="I51">
        <v>4800</v>
      </c>
    </row>
    <row r="52" spans="1:9" x14ac:dyDescent="0.4">
      <c r="A52" t="s">
        <v>84</v>
      </c>
      <c r="B52">
        <v>45547</v>
      </c>
      <c r="C52" t="s">
        <v>30</v>
      </c>
      <c r="D52" t="s">
        <v>46</v>
      </c>
      <c r="E52" t="s">
        <v>76</v>
      </c>
      <c r="F52" t="s">
        <v>24</v>
      </c>
      <c r="G52">
        <v>1</v>
      </c>
      <c r="H52">
        <v>75</v>
      </c>
      <c r="I52">
        <v>75</v>
      </c>
    </row>
    <row r="53" spans="1:9" x14ac:dyDescent="0.4">
      <c r="A53" t="s">
        <v>85</v>
      </c>
      <c r="B53">
        <v>45640</v>
      </c>
      <c r="C53" t="s">
        <v>15</v>
      </c>
      <c r="D53" t="s">
        <v>16</v>
      </c>
      <c r="E53" t="s">
        <v>23</v>
      </c>
      <c r="F53" t="s">
        <v>24</v>
      </c>
      <c r="G53">
        <v>8</v>
      </c>
      <c r="H53">
        <v>120</v>
      </c>
      <c r="I53">
        <v>960</v>
      </c>
    </row>
    <row r="54" spans="1:9" x14ac:dyDescent="0.4">
      <c r="A54" t="s">
        <v>86</v>
      </c>
      <c r="B54">
        <v>45447</v>
      </c>
      <c r="C54" t="s">
        <v>30</v>
      </c>
      <c r="D54" t="s">
        <v>31</v>
      </c>
      <c r="E54" t="s">
        <v>20</v>
      </c>
      <c r="F54" t="s">
        <v>18</v>
      </c>
      <c r="G54">
        <v>2</v>
      </c>
      <c r="H54">
        <v>300</v>
      </c>
      <c r="I54">
        <v>600</v>
      </c>
    </row>
    <row r="55" spans="1:9" x14ac:dyDescent="0.4">
      <c r="A55" t="s">
        <v>87</v>
      </c>
      <c r="B55">
        <v>45363</v>
      </c>
      <c r="C55" t="s">
        <v>10</v>
      </c>
      <c r="D55" t="s">
        <v>11</v>
      </c>
      <c r="E55" t="s">
        <v>76</v>
      </c>
      <c r="F55" t="s">
        <v>24</v>
      </c>
      <c r="G55">
        <v>6</v>
      </c>
      <c r="H55">
        <v>75</v>
      </c>
      <c r="I55">
        <v>450</v>
      </c>
    </row>
    <row r="56" spans="1:9" x14ac:dyDescent="0.4">
      <c r="A56" t="s">
        <v>88</v>
      </c>
      <c r="B56">
        <v>45560</v>
      </c>
      <c r="C56" t="s">
        <v>30</v>
      </c>
      <c r="D56" t="s">
        <v>46</v>
      </c>
      <c r="E56" t="s">
        <v>23</v>
      </c>
      <c r="F56" t="s">
        <v>24</v>
      </c>
      <c r="G56">
        <v>10</v>
      </c>
      <c r="H56">
        <v>120</v>
      </c>
      <c r="I56">
        <v>1200</v>
      </c>
    </row>
    <row r="57" spans="1:9" x14ac:dyDescent="0.4">
      <c r="A57" t="s">
        <v>89</v>
      </c>
      <c r="B57">
        <v>45505</v>
      </c>
      <c r="C57" t="s">
        <v>15</v>
      </c>
      <c r="D57" t="s">
        <v>22</v>
      </c>
      <c r="E57" t="s">
        <v>17</v>
      </c>
      <c r="F57" t="s">
        <v>18</v>
      </c>
      <c r="G57">
        <v>6</v>
      </c>
      <c r="H57">
        <v>800</v>
      </c>
      <c r="I57">
        <v>4800</v>
      </c>
    </row>
    <row r="58" spans="1:9" x14ac:dyDescent="0.4">
      <c r="A58" t="s">
        <v>90</v>
      </c>
      <c r="B58">
        <v>45522</v>
      </c>
      <c r="C58" t="s">
        <v>26</v>
      </c>
      <c r="D58" t="s">
        <v>27</v>
      </c>
      <c r="E58" t="s">
        <v>12</v>
      </c>
      <c r="F58" t="s">
        <v>13</v>
      </c>
      <c r="G58">
        <v>8</v>
      </c>
      <c r="H58">
        <v>350</v>
      </c>
      <c r="I58">
        <v>2800</v>
      </c>
    </row>
    <row r="59" spans="1:9" x14ac:dyDescent="0.4">
      <c r="A59" t="s">
        <v>91</v>
      </c>
      <c r="B59">
        <v>45455</v>
      </c>
      <c r="C59" t="s">
        <v>15</v>
      </c>
      <c r="D59" t="s">
        <v>16</v>
      </c>
      <c r="E59" t="s">
        <v>76</v>
      </c>
      <c r="F59" t="s">
        <v>24</v>
      </c>
      <c r="G59">
        <v>10</v>
      </c>
      <c r="H59">
        <v>75</v>
      </c>
      <c r="I59">
        <v>750</v>
      </c>
    </row>
    <row r="60" spans="1:9" x14ac:dyDescent="0.4">
      <c r="A60" t="s">
        <v>92</v>
      </c>
      <c r="B60">
        <v>45482</v>
      </c>
      <c r="C60" t="s">
        <v>26</v>
      </c>
      <c r="D60" t="s">
        <v>34</v>
      </c>
      <c r="E60" t="s">
        <v>12</v>
      </c>
      <c r="F60" t="s">
        <v>13</v>
      </c>
      <c r="G60">
        <v>7</v>
      </c>
      <c r="H60">
        <v>350</v>
      </c>
      <c r="I60">
        <v>2450</v>
      </c>
    </row>
    <row r="61" spans="1:9" x14ac:dyDescent="0.4">
      <c r="A61" t="s">
        <v>93</v>
      </c>
      <c r="B61">
        <v>45334</v>
      </c>
      <c r="C61" t="s">
        <v>26</v>
      </c>
      <c r="D61" t="s">
        <v>34</v>
      </c>
      <c r="E61" t="s">
        <v>76</v>
      </c>
      <c r="F61" t="s">
        <v>24</v>
      </c>
      <c r="G61">
        <v>1</v>
      </c>
      <c r="H61">
        <v>75</v>
      </c>
      <c r="I61">
        <v>75</v>
      </c>
    </row>
    <row r="62" spans="1:9" x14ac:dyDescent="0.4">
      <c r="A62" t="s">
        <v>94</v>
      </c>
      <c r="B62">
        <v>45562</v>
      </c>
      <c r="C62" t="s">
        <v>15</v>
      </c>
      <c r="D62" t="s">
        <v>22</v>
      </c>
      <c r="E62" t="s">
        <v>12</v>
      </c>
      <c r="F62" t="s">
        <v>13</v>
      </c>
      <c r="G62">
        <v>10</v>
      </c>
      <c r="H62">
        <v>350</v>
      </c>
      <c r="I62">
        <v>3500</v>
      </c>
    </row>
    <row r="63" spans="1:9" x14ac:dyDescent="0.4">
      <c r="A63" t="s">
        <v>95</v>
      </c>
      <c r="B63">
        <v>45455</v>
      </c>
      <c r="C63" t="s">
        <v>15</v>
      </c>
      <c r="D63" t="s">
        <v>16</v>
      </c>
      <c r="E63" t="s">
        <v>49</v>
      </c>
      <c r="F63" t="s">
        <v>18</v>
      </c>
      <c r="G63">
        <v>2</v>
      </c>
      <c r="H63">
        <v>250</v>
      </c>
      <c r="I63">
        <v>500</v>
      </c>
    </row>
    <row r="64" spans="1:9" x14ac:dyDescent="0.4">
      <c r="A64" t="s">
        <v>96</v>
      </c>
      <c r="B64">
        <v>45423</v>
      </c>
      <c r="C64" t="s">
        <v>15</v>
      </c>
      <c r="D64" t="s">
        <v>16</v>
      </c>
      <c r="E64" t="s">
        <v>17</v>
      </c>
      <c r="F64" t="s">
        <v>18</v>
      </c>
      <c r="G64">
        <v>1</v>
      </c>
      <c r="H64">
        <v>800</v>
      </c>
      <c r="I64">
        <v>800</v>
      </c>
    </row>
    <row r="65" spans="1:9" x14ac:dyDescent="0.4">
      <c r="A65" t="s">
        <v>97</v>
      </c>
      <c r="B65">
        <v>45471</v>
      </c>
      <c r="C65" t="s">
        <v>15</v>
      </c>
      <c r="D65" t="s">
        <v>22</v>
      </c>
      <c r="E65" t="s">
        <v>20</v>
      </c>
      <c r="F65" t="s">
        <v>18</v>
      </c>
      <c r="G65">
        <v>2</v>
      </c>
      <c r="H65">
        <v>300</v>
      </c>
      <c r="I65">
        <v>600</v>
      </c>
    </row>
    <row r="66" spans="1:9" x14ac:dyDescent="0.4">
      <c r="A66" t="s">
        <v>98</v>
      </c>
      <c r="B66">
        <v>45401</v>
      </c>
      <c r="C66" t="s">
        <v>30</v>
      </c>
      <c r="D66" t="s">
        <v>31</v>
      </c>
      <c r="E66" t="s">
        <v>28</v>
      </c>
      <c r="F66" t="s">
        <v>18</v>
      </c>
      <c r="G66">
        <v>9</v>
      </c>
      <c r="H66">
        <v>450</v>
      </c>
      <c r="I66">
        <v>4050</v>
      </c>
    </row>
    <row r="67" spans="1:9" x14ac:dyDescent="0.4">
      <c r="A67" t="s">
        <v>99</v>
      </c>
      <c r="B67">
        <v>45617</v>
      </c>
      <c r="C67" t="s">
        <v>15</v>
      </c>
      <c r="D67" t="s">
        <v>22</v>
      </c>
      <c r="E67" t="s">
        <v>47</v>
      </c>
      <c r="F67" t="s">
        <v>18</v>
      </c>
      <c r="G67">
        <v>4</v>
      </c>
      <c r="H67">
        <v>1200</v>
      </c>
      <c r="I67">
        <v>4800</v>
      </c>
    </row>
    <row r="68" spans="1:9" x14ac:dyDescent="0.4">
      <c r="A68" t="s">
        <v>100</v>
      </c>
      <c r="B68">
        <v>45297</v>
      </c>
      <c r="C68" t="s">
        <v>10</v>
      </c>
      <c r="D68" t="s">
        <v>41</v>
      </c>
      <c r="E68" t="s">
        <v>39</v>
      </c>
      <c r="F68" t="s">
        <v>24</v>
      </c>
      <c r="G68">
        <v>1</v>
      </c>
      <c r="H68">
        <v>45</v>
      </c>
      <c r="I68">
        <v>45</v>
      </c>
    </row>
    <row r="69" spans="1:9" x14ac:dyDescent="0.4">
      <c r="A69" t="s">
        <v>101</v>
      </c>
      <c r="B69">
        <v>45554</v>
      </c>
      <c r="C69" t="s">
        <v>15</v>
      </c>
      <c r="D69" t="s">
        <v>22</v>
      </c>
      <c r="E69" t="s">
        <v>49</v>
      </c>
      <c r="F69" t="s">
        <v>18</v>
      </c>
      <c r="G69">
        <v>2</v>
      </c>
      <c r="H69">
        <v>250</v>
      </c>
      <c r="I69">
        <v>500</v>
      </c>
    </row>
    <row r="70" spans="1:9" x14ac:dyDescent="0.4">
      <c r="A70" t="s">
        <v>102</v>
      </c>
      <c r="B70">
        <v>45347</v>
      </c>
      <c r="C70" t="s">
        <v>30</v>
      </c>
      <c r="D70" t="s">
        <v>46</v>
      </c>
      <c r="E70" t="s">
        <v>20</v>
      </c>
      <c r="F70" t="s">
        <v>18</v>
      </c>
      <c r="G70">
        <v>9</v>
      </c>
      <c r="H70">
        <v>300</v>
      </c>
      <c r="I70">
        <v>2700</v>
      </c>
    </row>
    <row r="71" spans="1:9" x14ac:dyDescent="0.4">
      <c r="A71" t="s">
        <v>103</v>
      </c>
      <c r="B71">
        <v>45653</v>
      </c>
      <c r="C71" t="s">
        <v>15</v>
      </c>
      <c r="D71" t="s">
        <v>16</v>
      </c>
      <c r="E71" t="s">
        <v>32</v>
      </c>
      <c r="F71" t="s">
        <v>13</v>
      </c>
      <c r="G71">
        <v>9</v>
      </c>
      <c r="H71">
        <v>500</v>
      </c>
      <c r="I71">
        <v>4500</v>
      </c>
    </row>
    <row r="72" spans="1:9" x14ac:dyDescent="0.4">
      <c r="A72" t="s">
        <v>104</v>
      </c>
      <c r="B72">
        <v>45407</v>
      </c>
      <c r="C72" t="s">
        <v>26</v>
      </c>
      <c r="D72" t="s">
        <v>34</v>
      </c>
      <c r="E72" t="s">
        <v>17</v>
      </c>
      <c r="F72" t="s">
        <v>18</v>
      </c>
      <c r="G72">
        <v>7</v>
      </c>
      <c r="H72">
        <v>800</v>
      </c>
      <c r="I72">
        <v>5600</v>
      </c>
    </row>
    <row r="73" spans="1:9" x14ac:dyDescent="0.4">
      <c r="A73" t="s">
        <v>105</v>
      </c>
      <c r="B73">
        <v>45499</v>
      </c>
      <c r="C73" t="s">
        <v>26</v>
      </c>
      <c r="D73" t="s">
        <v>34</v>
      </c>
      <c r="E73" t="s">
        <v>12</v>
      </c>
      <c r="F73" t="s">
        <v>13</v>
      </c>
      <c r="G73">
        <v>10</v>
      </c>
      <c r="H73">
        <v>350</v>
      </c>
      <c r="I73">
        <v>3500</v>
      </c>
    </row>
    <row r="74" spans="1:9" x14ac:dyDescent="0.4">
      <c r="A74" t="s">
        <v>106</v>
      </c>
      <c r="B74">
        <v>45590</v>
      </c>
      <c r="C74" t="s">
        <v>10</v>
      </c>
      <c r="D74" t="s">
        <v>11</v>
      </c>
      <c r="E74" t="s">
        <v>17</v>
      </c>
      <c r="F74" t="s">
        <v>18</v>
      </c>
      <c r="G74">
        <v>1</v>
      </c>
      <c r="H74">
        <v>800</v>
      </c>
      <c r="I74">
        <v>800</v>
      </c>
    </row>
    <row r="75" spans="1:9" x14ac:dyDescent="0.4">
      <c r="A75" t="s">
        <v>107</v>
      </c>
      <c r="B75">
        <v>45394</v>
      </c>
      <c r="C75" t="s">
        <v>30</v>
      </c>
      <c r="D75" t="s">
        <v>46</v>
      </c>
      <c r="E75" t="s">
        <v>32</v>
      </c>
      <c r="F75" t="s">
        <v>13</v>
      </c>
      <c r="G75">
        <v>10</v>
      </c>
      <c r="H75">
        <v>500</v>
      </c>
      <c r="I75">
        <v>5000</v>
      </c>
    </row>
    <row r="76" spans="1:9" x14ac:dyDescent="0.4">
      <c r="A76" t="s">
        <v>108</v>
      </c>
      <c r="B76">
        <v>45446</v>
      </c>
      <c r="C76" t="s">
        <v>15</v>
      </c>
      <c r="D76" t="s">
        <v>22</v>
      </c>
      <c r="E76" t="s">
        <v>76</v>
      </c>
      <c r="F76" t="s">
        <v>24</v>
      </c>
      <c r="G76">
        <v>8</v>
      </c>
      <c r="H76">
        <v>75</v>
      </c>
      <c r="I76">
        <v>600</v>
      </c>
    </row>
    <row r="77" spans="1:9" x14ac:dyDescent="0.4">
      <c r="A77" t="s">
        <v>109</v>
      </c>
      <c r="B77">
        <v>45368</v>
      </c>
      <c r="C77" t="s">
        <v>26</v>
      </c>
      <c r="D77" t="s">
        <v>27</v>
      </c>
      <c r="E77" t="s">
        <v>28</v>
      </c>
      <c r="F77" t="s">
        <v>18</v>
      </c>
      <c r="G77">
        <v>8</v>
      </c>
      <c r="H77">
        <v>450</v>
      </c>
      <c r="I77">
        <v>3600</v>
      </c>
    </row>
    <row r="78" spans="1:9" x14ac:dyDescent="0.4">
      <c r="A78" t="s">
        <v>110</v>
      </c>
      <c r="B78">
        <v>45644</v>
      </c>
      <c r="C78" t="s">
        <v>26</v>
      </c>
      <c r="D78" t="s">
        <v>34</v>
      </c>
      <c r="E78" t="s">
        <v>20</v>
      </c>
      <c r="F78" t="s">
        <v>18</v>
      </c>
      <c r="G78">
        <v>2</v>
      </c>
      <c r="H78">
        <v>300</v>
      </c>
      <c r="I78">
        <v>600</v>
      </c>
    </row>
    <row r="79" spans="1:9" x14ac:dyDescent="0.4">
      <c r="A79" t="s">
        <v>111</v>
      </c>
      <c r="B79">
        <v>45385</v>
      </c>
      <c r="C79" t="s">
        <v>30</v>
      </c>
      <c r="D79" t="s">
        <v>46</v>
      </c>
      <c r="E79" t="s">
        <v>17</v>
      </c>
      <c r="F79" t="s">
        <v>18</v>
      </c>
      <c r="G79">
        <v>10</v>
      </c>
      <c r="H79">
        <v>800</v>
      </c>
      <c r="I79">
        <v>8000</v>
      </c>
    </row>
    <row r="80" spans="1:9" x14ac:dyDescent="0.4">
      <c r="A80" t="s">
        <v>112</v>
      </c>
      <c r="B80">
        <v>45571</v>
      </c>
      <c r="C80" t="s">
        <v>30</v>
      </c>
      <c r="D80" t="s">
        <v>31</v>
      </c>
      <c r="E80" t="s">
        <v>47</v>
      </c>
      <c r="F80" t="s">
        <v>18</v>
      </c>
      <c r="G80">
        <v>3</v>
      </c>
      <c r="H80">
        <v>1200</v>
      </c>
      <c r="I80">
        <v>3600</v>
      </c>
    </row>
    <row r="81" spans="1:9" x14ac:dyDescent="0.4">
      <c r="A81" t="s">
        <v>113</v>
      </c>
      <c r="B81">
        <v>45628</v>
      </c>
      <c r="C81" t="s">
        <v>15</v>
      </c>
      <c r="D81" t="s">
        <v>22</v>
      </c>
      <c r="E81" t="s">
        <v>76</v>
      </c>
      <c r="F81" t="s">
        <v>24</v>
      </c>
      <c r="G81">
        <v>4</v>
      </c>
      <c r="H81">
        <v>75</v>
      </c>
      <c r="I81">
        <v>300</v>
      </c>
    </row>
    <row r="82" spans="1:9" x14ac:dyDescent="0.4">
      <c r="A82" t="s">
        <v>114</v>
      </c>
      <c r="B82">
        <v>45528</v>
      </c>
      <c r="C82" t="s">
        <v>26</v>
      </c>
      <c r="D82" t="s">
        <v>27</v>
      </c>
      <c r="E82" t="s">
        <v>23</v>
      </c>
      <c r="F82" t="s">
        <v>24</v>
      </c>
      <c r="G82">
        <v>3</v>
      </c>
      <c r="H82">
        <v>120</v>
      </c>
      <c r="I82">
        <v>360</v>
      </c>
    </row>
    <row r="83" spans="1:9" x14ac:dyDescent="0.4">
      <c r="A83" t="s">
        <v>115</v>
      </c>
      <c r="B83">
        <v>45581</v>
      </c>
      <c r="C83" t="s">
        <v>26</v>
      </c>
      <c r="D83" t="s">
        <v>27</v>
      </c>
      <c r="E83" t="s">
        <v>17</v>
      </c>
      <c r="F83" t="s">
        <v>18</v>
      </c>
      <c r="G83">
        <v>7</v>
      </c>
      <c r="H83">
        <v>800</v>
      </c>
      <c r="I83">
        <v>5600</v>
      </c>
    </row>
    <row r="84" spans="1:9" x14ac:dyDescent="0.4">
      <c r="A84" t="s">
        <v>116</v>
      </c>
      <c r="B84">
        <v>45372</v>
      </c>
      <c r="C84" t="s">
        <v>15</v>
      </c>
      <c r="D84" t="s">
        <v>16</v>
      </c>
      <c r="E84" t="s">
        <v>28</v>
      </c>
      <c r="F84" t="s">
        <v>18</v>
      </c>
      <c r="G84">
        <v>3</v>
      </c>
      <c r="H84">
        <v>450</v>
      </c>
      <c r="I84">
        <v>1350</v>
      </c>
    </row>
    <row r="85" spans="1:9" x14ac:dyDescent="0.4">
      <c r="A85" t="s">
        <v>117</v>
      </c>
      <c r="B85">
        <v>45595</v>
      </c>
      <c r="C85" t="s">
        <v>26</v>
      </c>
      <c r="D85" t="s">
        <v>27</v>
      </c>
      <c r="E85" t="s">
        <v>23</v>
      </c>
      <c r="F85" t="s">
        <v>24</v>
      </c>
      <c r="G85">
        <v>1</v>
      </c>
      <c r="H85">
        <v>120</v>
      </c>
      <c r="I85">
        <v>120</v>
      </c>
    </row>
    <row r="86" spans="1:9" x14ac:dyDescent="0.4">
      <c r="A86" t="s">
        <v>118</v>
      </c>
      <c r="B86">
        <v>45383</v>
      </c>
      <c r="C86" t="s">
        <v>10</v>
      </c>
      <c r="D86" t="s">
        <v>41</v>
      </c>
      <c r="E86" t="s">
        <v>12</v>
      </c>
      <c r="F86" t="s">
        <v>13</v>
      </c>
      <c r="G86">
        <v>6</v>
      </c>
      <c r="H86">
        <v>350</v>
      </c>
      <c r="I86">
        <v>2100</v>
      </c>
    </row>
    <row r="87" spans="1:9" x14ac:dyDescent="0.4">
      <c r="A87" t="s">
        <v>119</v>
      </c>
      <c r="B87">
        <v>45643</v>
      </c>
      <c r="C87" t="s">
        <v>30</v>
      </c>
      <c r="D87" t="s">
        <v>46</v>
      </c>
      <c r="E87" t="s">
        <v>12</v>
      </c>
      <c r="F87" t="s">
        <v>13</v>
      </c>
      <c r="G87">
        <v>4</v>
      </c>
      <c r="H87">
        <v>350</v>
      </c>
      <c r="I87">
        <v>1400</v>
      </c>
    </row>
    <row r="88" spans="1:9" x14ac:dyDescent="0.4">
      <c r="A88" t="s">
        <v>120</v>
      </c>
      <c r="B88">
        <v>45407</v>
      </c>
      <c r="C88" t="s">
        <v>15</v>
      </c>
      <c r="D88" t="s">
        <v>16</v>
      </c>
      <c r="E88" t="s">
        <v>28</v>
      </c>
      <c r="F88" t="s">
        <v>18</v>
      </c>
      <c r="G88">
        <v>8</v>
      </c>
      <c r="H88">
        <v>450</v>
      </c>
      <c r="I88">
        <v>3600</v>
      </c>
    </row>
    <row r="89" spans="1:9" x14ac:dyDescent="0.4">
      <c r="A89" t="s">
        <v>121</v>
      </c>
      <c r="B89">
        <v>45602</v>
      </c>
      <c r="C89" t="s">
        <v>26</v>
      </c>
      <c r="D89" t="s">
        <v>27</v>
      </c>
      <c r="E89" t="s">
        <v>23</v>
      </c>
      <c r="F89" t="s">
        <v>24</v>
      </c>
      <c r="G89">
        <v>5</v>
      </c>
      <c r="H89">
        <v>120</v>
      </c>
      <c r="I89">
        <v>600</v>
      </c>
    </row>
    <row r="90" spans="1:9" x14ac:dyDescent="0.4">
      <c r="A90" t="s">
        <v>122</v>
      </c>
      <c r="B90">
        <v>45449</v>
      </c>
      <c r="C90" t="s">
        <v>30</v>
      </c>
      <c r="D90" t="s">
        <v>46</v>
      </c>
      <c r="E90" t="s">
        <v>39</v>
      </c>
      <c r="F90" t="s">
        <v>24</v>
      </c>
      <c r="G90">
        <v>4</v>
      </c>
      <c r="H90">
        <v>45</v>
      </c>
      <c r="I90">
        <v>180</v>
      </c>
    </row>
    <row r="91" spans="1:9" x14ac:dyDescent="0.4">
      <c r="A91" t="s">
        <v>123</v>
      </c>
      <c r="B91">
        <v>45350</v>
      </c>
      <c r="C91" t="s">
        <v>15</v>
      </c>
      <c r="D91" t="s">
        <v>22</v>
      </c>
      <c r="E91" t="s">
        <v>28</v>
      </c>
      <c r="F91" t="s">
        <v>18</v>
      </c>
      <c r="G91">
        <v>3</v>
      </c>
      <c r="H91">
        <v>450</v>
      </c>
      <c r="I91">
        <v>1350</v>
      </c>
    </row>
    <row r="92" spans="1:9" x14ac:dyDescent="0.4">
      <c r="A92" t="s">
        <v>124</v>
      </c>
      <c r="B92">
        <v>45318</v>
      </c>
      <c r="C92" t="s">
        <v>10</v>
      </c>
      <c r="D92" t="s">
        <v>11</v>
      </c>
      <c r="E92" t="s">
        <v>49</v>
      </c>
      <c r="F92" t="s">
        <v>18</v>
      </c>
      <c r="G92">
        <v>7</v>
      </c>
      <c r="H92">
        <v>250</v>
      </c>
      <c r="I92">
        <v>1750</v>
      </c>
    </row>
    <row r="93" spans="1:9" x14ac:dyDescent="0.4">
      <c r="A93" t="s">
        <v>125</v>
      </c>
      <c r="B93">
        <v>45346</v>
      </c>
      <c r="C93" t="s">
        <v>30</v>
      </c>
      <c r="D93" t="s">
        <v>46</v>
      </c>
      <c r="E93" t="s">
        <v>12</v>
      </c>
      <c r="F93" t="s">
        <v>13</v>
      </c>
      <c r="G93">
        <v>9</v>
      </c>
      <c r="H93">
        <v>350</v>
      </c>
      <c r="I93">
        <v>3150</v>
      </c>
    </row>
    <row r="94" spans="1:9" x14ac:dyDescent="0.4">
      <c r="A94" t="s">
        <v>126</v>
      </c>
      <c r="B94">
        <v>45632</v>
      </c>
      <c r="C94" t="s">
        <v>30</v>
      </c>
      <c r="D94" t="s">
        <v>31</v>
      </c>
      <c r="E94" t="s">
        <v>12</v>
      </c>
      <c r="F94" t="s">
        <v>13</v>
      </c>
      <c r="G94">
        <v>1</v>
      </c>
      <c r="H94">
        <v>350</v>
      </c>
      <c r="I94">
        <v>350</v>
      </c>
    </row>
    <row r="95" spans="1:9" x14ac:dyDescent="0.4">
      <c r="A95" t="s">
        <v>127</v>
      </c>
      <c r="B95">
        <v>45345</v>
      </c>
      <c r="C95" t="s">
        <v>30</v>
      </c>
      <c r="D95" t="s">
        <v>46</v>
      </c>
      <c r="E95" t="s">
        <v>76</v>
      </c>
      <c r="F95" t="s">
        <v>24</v>
      </c>
      <c r="G95">
        <v>1</v>
      </c>
      <c r="H95">
        <v>75</v>
      </c>
      <c r="I95">
        <v>75</v>
      </c>
    </row>
    <row r="96" spans="1:9" x14ac:dyDescent="0.4">
      <c r="A96" t="s">
        <v>128</v>
      </c>
      <c r="B96">
        <v>45337</v>
      </c>
      <c r="C96" t="s">
        <v>30</v>
      </c>
      <c r="D96" t="s">
        <v>46</v>
      </c>
      <c r="E96" t="s">
        <v>17</v>
      </c>
      <c r="F96" t="s">
        <v>18</v>
      </c>
      <c r="G96">
        <v>5</v>
      </c>
      <c r="H96">
        <v>800</v>
      </c>
      <c r="I96">
        <v>4000</v>
      </c>
    </row>
    <row r="97" spans="1:9" x14ac:dyDescent="0.4">
      <c r="A97" t="s">
        <v>129</v>
      </c>
      <c r="B97">
        <v>45579</v>
      </c>
      <c r="C97" t="s">
        <v>15</v>
      </c>
      <c r="D97" t="s">
        <v>22</v>
      </c>
      <c r="E97" t="s">
        <v>12</v>
      </c>
      <c r="F97" t="s">
        <v>13</v>
      </c>
      <c r="G97">
        <v>5</v>
      </c>
      <c r="H97">
        <v>350</v>
      </c>
      <c r="I97">
        <v>1750</v>
      </c>
    </row>
    <row r="98" spans="1:9" x14ac:dyDescent="0.4">
      <c r="A98" t="s">
        <v>130</v>
      </c>
      <c r="B98">
        <v>45543</v>
      </c>
      <c r="C98" t="s">
        <v>26</v>
      </c>
      <c r="D98" t="s">
        <v>27</v>
      </c>
      <c r="E98" t="s">
        <v>23</v>
      </c>
      <c r="F98" t="s">
        <v>24</v>
      </c>
      <c r="G98">
        <v>10</v>
      </c>
      <c r="H98">
        <v>120</v>
      </c>
      <c r="I98">
        <v>1200</v>
      </c>
    </row>
    <row r="99" spans="1:9" x14ac:dyDescent="0.4">
      <c r="A99" t="s">
        <v>131</v>
      </c>
      <c r="B99">
        <v>45634</v>
      </c>
      <c r="C99" t="s">
        <v>30</v>
      </c>
      <c r="D99" t="s">
        <v>31</v>
      </c>
      <c r="E99" t="s">
        <v>32</v>
      </c>
      <c r="F99" t="s">
        <v>13</v>
      </c>
      <c r="G99">
        <v>1</v>
      </c>
      <c r="H99">
        <v>500</v>
      </c>
      <c r="I99">
        <v>500</v>
      </c>
    </row>
    <row r="100" spans="1:9" x14ac:dyDescent="0.4">
      <c r="A100" t="s">
        <v>132</v>
      </c>
      <c r="B100">
        <v>45419</v>
      </c>
      <c r="C100" t="s">
        <v>10</v>
      </c>
      <c r="D100" t="s">
        <v>11</v>
      </c>
      <c r="E100" t="s">
        <v>12</v>
      </c>
      <c r="F100" t="s">
        <v>13</v>
      </c>
      <c r="G100">
        <v>10</v>
      </c>
      <c r="H100">
        <v>350</v>
      </c>
      <c r="I100">
        <v>3500</v>
      </c>
    </row>
    <row r="101" spans="1:9" x14ac:dyDescent="0.4">
      <c r="A101" t="s">
        <v>133</v>
      </c>
      <c r="B101">
        <v>45389</v>
      </c>
      <c r="C101" t="s">
        <v>15</v>
      </c>
      <c r="D101" t="s">
        <v>16</v>
      </c>
      <c r="E101" t="s">
        <v>32</v>
      </c>
      <c r="F101" t="s">
        <v>13</v>
      </c>
      <c r="G101">
        <v>8</v>
      </c>
      <c r="H101">
        <v>500</v>
      </c>
      <c r="I101">
        <v>4000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69897-501A-42FB-8A1C-F39605721E8C}">
  <dimension ref="A1:DK79"/>
  <sheetViews>
    <sheetView topLeftCell="A69" zoomScale="85" zoomScaleNormal="85" workbookViewId="0">
      <selection activeCell="A70" sqref="A70"/>
    </sheetView>
  </sheetViews>
  <sheetFormatPr defaultColWidth="8.7109375" defaultRowHeight="18" x14ac:dyDescent="0.4"/>
  <cols>
    <col min="1" max="1" width="12.92578125" bestFit="1" customWidth="1"/>
    <col min="2" max="2" width="15.0703125" bestFit="1" customWidth="1"/>
    <col min="3" max="3" width="13.0703125" bestFit="1" customWidth="1"/>
    <col min="4" max="4" width="16.28515625" bestFit="1" customWidth="1"/>
    <col min="5" max="5" width="10.35546875" bestFit="1" customWidth="1"/>
    <col min="6" max="6" width="20.0703125" bestFit="1" customWidth="1"/>
    <col min="7" max="7" width="15.92578125" bestFit="1" customWidth="1"/>
    <col min="8" max="8" width="10.5" bestFit="1" customWidth="1"/>
    <col min="9" max="9" width="9.28515625" bestFit="1" customWidth="1"/>
    <col min="10" max="10" width="11.5" bestFit="1" customWidth="1"/>
    <col min="14" max="14" width="12.92578125" bestFit="1" customWidth="1"/>
    <col min="15" max="15" width="15.0703125" bestFit="1" customWidth="1"/>
    <col min="20" max="20" width="14.640625" bestFit="1" customWidth="1"/>
    <col min="21" max="21" width="11.2109375" bestFit="1" customWidth="1"/>
    <col min="22" max="22" width="14.35546875" bestFit="1" customWidth="1"/>
    <col min="28" max="28" width="12.92578125" bestFit="1" customWidth="1"/>
    <col min="29" max="29" width="16.7109375" bestFit="1" customWidth="1"/>
    <col min="32" max="32" width="12.42578125" bestFit="1" customWidth="1"/>
    <col min="33" max="33" width="16.0703125" bestFit="1" customWidth="1"/>
    <col min="36" max="36" width="9" bestFit="1" customWidth="1"/>
    <col min="37" max="38" width="15.0703125" bestFit="1" customWidth="1"/>
    <col min="39" max="39" width="10.640625" bestFit="1" customWidth="1"/>
    <col min="40" max="40" width="6.85546875" bestFit="1" customWidth="1"/>
    <col min="41" max="41" width="15.0703125" bestFit="1" customWidth="1"/>
    <col min="42" max="42" width="13.7109375" bestFit="1" customWidth="1"/>
    <col min="43" max="43" width="13.5703125" bestFit="1" customWidth="1"/>
    <col min="44" max="44" width="14.28515625" bestFit="1" customWidth="1"/>
    <col min="49" max="49" width="12.92578125" bestFit="1" customWidth="1"/>
    <col min="50" max="50" width="15.0703125" bestFit="1" customWidth="1"/>
    <col min="55" max="55" width="12.92578125" bestFit="1" customWidth="1"/>
    <col min="56" max="56" width="16.7109375" bestFit="1" customWidth="1"/>
    <col min="61" max="61" width="13.28515625" bestFit="1" customWidth="1"/>
    <col min="62" max="62" width="17.28515625" bestFit="1" customWidth="1"/>
    <col min="67" max="67" width="12.42578125" bestFit="1" customWidth="1"/>
    <col min="68" max="68" width="16.0703125" bestFit="1" customWidth="1"/>
    <col min="72" max="72" width="13" bestFit="1" customWidth="1"/>
    <col min="73" max="73" width="16.85546875" bestFit="1" customWidth="1"/>
    <col min="74" max="74" width="16.28515625" bestFit="1" customWidth="1"/>
    <col min="75" max="75" width="15.7109375" bestFit="1" customWidth="1"/>
    <col min="80" max="80" width="13.0703125" bestFit="1" customWidth="1"/>
    <col min="81" max="81" width="15.35546875" bestFit="1" customWidth="1"/>
    <col min="86" max="86" width="13.0703125" bestFit="1" customWidth="1"/>
    <col min="87" max="87" width="15.28515625" bestFit="1" customWidth="1"/>
    <col min="88" max="88" width="15.35546875" bestFit="1" customWidth="1"/>
    <col min="89" max="89" width="14.35546875" bestFit="1" customWidth="1"/>
    <col min="92" max="92" width="12.92578125" bestFit="1" customWidth="1"/>
    <col min="93" max="93" width="16.85546875" bestFit="1" customWidth="1"/>
    <col min="94" max="94" width="16.7109375" bestFit="1" customWidth="1"/>
    <col min="100" max="100" width="12.92578125" bestFit="1" customWidth="1"/>
    <col min="101" max="101" width="16.7109375" bestFit="1" customWidth="1"/>
    <col min="103" max="103" width="13.0703125" bestFit="1" customWidth="1"/>
    <col min="104" max="104" width="16.7109375" bestFit="1" customWidth="1"/>
    <col min="105" max="105" width="15.92578125" bestFit="1" customWidth="1"/>
    <col min="106" max="106" width="5.92578125" bestFit="1" customWidth="1"/>
    <col min="107" max="107" width="11.42578125" bestFit="1" customWidth="1"/>
    <col min="108" max="108" width="9.42578125" bestFit="1" customWidth="1"/>
    <col min="109" max="109" width="7.0703125" bestFit="1" customWidth="1"/>
    <col min="110" max="110" width="8" bestFit="1" customWidth="1"/>
    <col min="111" max="111" width="6.42578125" bestFit="1" customWidth="1"/>
    <col min="112" max="112" width="6.2109375" bestFit="1" customWidth="1"/>
    <col min="113" max="113" width="7.140625" bestFit="1" customWidth="1"/>
    <col min="114" max="114" width="6.28515625" bestFit="1" customWidth="1"/>
    <col min="115" max="115" width="11.5" bestFit="1" customWidth="1"/>
    <col min="116" max="116" width="8.5" bestFit="1" customWidth="1"/>
    <col min="117" max="117" width="14.35546875" bestFit="1" customWidth="1"/>
    <col min="118" max="118" width="11.5" bestFit="1" customWidth="1"/>
  </cols>
  <sheetData>
    <row r="1" spans="1:115" x14ac:dyDescent="0.4">
      <c r="A1" s="2" t="s">
        <v>5</v>
      </c>
      <c r="B1" t="s">
        <v>137</v>
      </c>
      <c r="F1" s="2" t="s">
        <v>136</v>
      </c>
      <c r="G1" s="2" t="s">
        <v>138</v>
      </c>
      <c r="N1" s="2" t="s">
        <v>134</v>
      </c>
      <c r="O1" t="s">
        <v>139</v>
      </c>
      <c r="T1" t="s">
        <v>3</v>
      </c>
      <c r="U1" t="s">
        <v>5</v>
      </c>
      <c r="V1" t="s">
        <v>139</v>
      </c>
      <c r="AB1" s="2" t="s">
        <v>134</v>
      </c>
      <c r="AC1" t="s">
        <v>140</v>
      </c>
      <c r="AW1" s="2" t="s">
        <v>134</v>
      </c>
      <c r="AX1" t="s">
        <v>139</v>
      </c>
      <c r="BI1" s="2" t="s">
        <v>134</v>
      </c>
      <c r="BJ1" t="s">
        <v>140</v>
      </c>
      <c r="CB1" t="s">
        <v>134</v>
      </c>
      <c r="CC1" t="s">
        <v>153</v>
      </c>
      <c r="CH1" t="s">
        <v>134</v>
      </c>
      <c r="CI1" t="s">
        <v>154</v>
      </c>
      <c r="CJ1" t="s">
        <v>153</v>
      </c>
      <c r="CK1" t="s">
        <v>139</v>
      </c>
      <c r="CN1" s="2" t="s">
        <v>134</v>
      </c>
      <c r="CO1" t="s">
        <v>154</v>
      </c>
      <c r="CP1" t="s">
        <v>140</v>
      </c>
      <c r="CV1" s="2" t="s">
        <v>134</v>
      </c>
      <c r="CW1" t="s">
        <v>140</v>
      </c>
    </row>
    <row r="2" spans="1:115" x14ac:dyDescent="0.4">
      <c r="F2" s="2" t="s">
        <v>134</v>
      </c>
      <c r="G2" t="s">
        <v>24</v>
      </c>
      <c r="H2" t="s">
        <v>18</v>
      </c>
      <c r="I2" t="s">
        <v>13</v>
      </c>
      <c r="J2" t="s">
        <v>135</v>
      </c>
      <c r="N2" s="3" t="s">
        <v>30</v>
      </c>
      <c r="O2">
        <v>137</v>
      </c>
      <c r="T2" t="s">
        <v>41</v>
      </c>
      <c r="V2">
        <v>22</v>
      </c>
      <c r="AB2" s="3" t="s">
        <v>41</v>
      </c>
      <c r="AC2" s="7">
        <v>9750</v>
      </c>
      <c r="AW2" s="3" t="s">
        <v>24</v>
      </c>
      <c r="AX2">
        <v>159</v>
      </c>
      <c r="BC2" s="2" t="s">
        <v>134</v>
      </c>
      <c r="BD2" t="s">
        <v>140</v>
      </c>
      <c r="BI2" s="3" t="s">
        <v>141</v>
      </c>
      <c r="BJ2" s="5">
        <v>6.8292199425116468E-2</v>
      </c>
      <c r="BT2" s="2" t="s">
        <v>134</v>
      </c>
      <c r="BU2" t="s">
        <v>140</v>
      </c>
      <c r="CB2" t="s">
        <v>30</v>
      </c>
      <c r="CC2" s="7">
        <v>12935</v>
      </c>
      <c r="CH2" t="s">
        <v>30</v>
      </c>
      <c r="CI2" s="7">
        <v>25</v>
      </c>
      <c r="CJ2" s="7">
        <v>12935</v>
      </c>
      <c r="CK2" s="7">
        <v>137</v>
      </c>
      <c r="CN2" s="3" t="s">
        <v>12</v>
      </c>
      <c r="CO2">
        <v>14</v>
      </c>
      <c r="CP2" s="5">
        <v>0.13598969174348299</v>
      </c>
      <c r="CV2" s="3" t="s">
        <v>30</v>
      </c>
      <c r="CW2" s="7">
        <v>74480</v>
      </c>
    </row>
    <row r="3" spans="1:115" x14ac:dyDescent="0.4">
      <c r="A3" s="2" t="s">
        <v>134</v>
      </c>
      <c r="B3" t="s">
        <v>136</v>
      </c>
      <c r="F3" s="3" t="s">
        <v>30</v>
      </c>
      <c r="G3" s="7">
        <v>330</v>
      </c>
      <c r="H3" s="7">
        <v>4895.454545454545</v>
      </c>
      <c r="I3" s="7">
        <v>2331.25</v>
      </c>
      <c r="J3" s="7">
        <v>2979.2</v>
      </c>
      <c r="N3" s="3" t="s">
        <v>15</v>
      </c>
      <c r="O3">
        <v>200</v>
      </c>
      <c r="T3" t="s">
        <v>31</v>
      </c>
      <c r="V3">
        <v>31</v>
      </c>
      <c r="AB3" s="3" t="s">
        <v>31</v>
      </c>
      <c r="AC3" s="7">
        <v>20800</v>
      </c>
      <c r="AM3" s="2" t="s">
        <v>3</v>
      </c>
      <c r="AN3" s="2" t="s">
        <v>1</v>
      </c>
      <c r="AO3" t="s">
        <v>139</v>
      </c>
      <c r="AW3" s="3" t="s">
        <v>18</v>
      </c>
      <c r="AX3">
        <v>253</v>
      </c>
      <c r="BC3" s="3" t="s">
        <v>24</v>
      </c>
      <c r="BD3" s="7">
        <v>13275</v>
      </c>
      <c r="BI3" s="3" t="s">
        <v>142</v>
      </c>
      <c r="BJ3" s="5">
        <v>0.12449202101298444</v>
      </c>
      <c r="BT3" s="3" t="s">
        <v>141</v>
      </c>
      <c r="BU3" s="5">
        <v>6.8292199425116468E-2</v>
      </c>
      <c r="CB3" t="s">
        <v>15</v>
      </c>
      <c r="CC3" s="7">
        <v>14385</v>
      </c>
      <c r="CH3" t="s">
        <v>15</v>
      </c>
      <c r="CI3" s="7">
        <v>35</v>
      </c>
      <c r="CJ3" s="7">
        <v>14385</v>
      </c>
      <c r="CK3" s="7">
        <v>200</v>
      </c>
      <c r="CN3" s="3" t="s">
        <v>32</v>
      </c>
      <c r="CO3">
        <v>9</v>
      </c>
      <c r="CP3" s="5">
        <v>0.10902963623748638</v>
      </c>
      <c r="CV3" s="4" t="s">
        <v>142</v>
      </c>
      <c r="CW3" s="7">
        <v>14725</v>
      </c>
      <c r="CZ3" s="2" t="s">
        <v>140</v>
      </c>
      <c r="DA3" s="2" t="s">
        <v>138</v>
      </c>
    </row>
    <row r="4" spans="1:115" x14ac:dyDescent="0.4">
      <c r="A4" s="3" t="s">
        <v>30</v>
      </c>
      <c r="B4" s="7">
        <v>2979.2</v>
      </c>
      <c r="D4" s="7"/>
      <c r="F4" s="3" t="s">
        <v>15</v>
      </c>
      <c r="G4" s="7">
        <v>567.27272727272725</v>
      </c>
      <c r="H4" s="7">
        <v>2533.3333333333335</v>
      </c>
      <c r="I4" s="7">
        <v>3375</v>
      </c>
      <c r="J4" s="7">
        <v>2059.7142857142858</v>
      </c>
      <c r="N4" s="3" t="s">
        <v>10</v>
      </c>
      <c r="O4">
        <v>101</v>
      </c>
      <c r="T4" t="s">
        <v>46</v>
      </c>
      <c r="V4">
        <v>106</v>
      </c>
      <c r="AB4" s="3" t="s">
        <v>46</v>
      </c>
      <c r="AC4" s="7">
        <v>53680</v>
      </c>
      <c r="AM4" t="s">
        <v>41</v>
      </c>
      <c r="AO4">
        <v>13</v>
      </c>
      <c r="AW4" s="3" t="s">
        <v>13</v>
      </c>
      <c r="AX4">
        <v>153</v>
      </c>
      <c r="BC4" s="3" t="s">
        <v>18</v>
      </c>
      <c r="BD4" s="7">
        <v>177150</v>
      </c>
      <c r="BI4" s="3" t="s">
        <v>143</v>
      </c>
      <c r="BJ4" s="5">
        <v>7.0294380017841218E-2</v>
      </c>
      <c r="BT4" s="3" t="s">
        <v>142</v>
      </c>
      <c r="BU4" s="5">
        <v>0.12449202101298444</v>
      </c>
      <c r="CB4" t="s">
        <v>10</v>
      </c>
      <c r="CC4" s="7">
        <v>7030</v>
      </c>
      <c r="CH4" t="s">
        <v>10</v>
      </c>
      <c r="CI4" s="7">
        <v>16</v>
      </c>
      <c r="CJ4" s="7">
        <v>7030</v>
      </c>
      <c r="CK4" s="7">
        <v>101</v>
      </c>
      <c r="CN4" s="3" t="s">
        <v>23</v>
      </c>
      <c r="CO4">
        <v>11</v>
      </c>
      <c r="CP4" s="5">
        <v>3.2352066607195959E-2</v>
      </c>
      <c r="CV4" s="4" t="s">
        <v>143</v>
      </c>
      <c r="CW4" s="7">
        <v>8250</v>
      </c>
      <c r="CZ4" s="2" t="s">
        <v>134</v>
      </c>
      <c r="DA4" t="s">
        <v>12</v>
      </c>
      <c r="DB4" t="s">
        <v>32</v>
      </c>
      <c r="DC4" t="s">
        <v>23</v>
      </c>
      <c r="DD4" t="s">
        <v>76</v>
      </c>
      <c r="DE4" t="s">
        <v>47</v>
      </c>
      <c r="DF4" t="s">
        <v>20</v>
      </c>
      <c r="DG4" t="s">
        <v>39</v>
      </c>
      <c r="DH4" t="s">
        <v>17</v>
      </c>
      <c r="DI4" t="s">
        <v>49</v>
      </c>
      <c r="DJ4" t="s">
        <v>28</v>
      </c>
      <c r="DK4" t="s">
        <v>135</v>
      </c>
    </row>
    <row r="5" spans="1:115" x14ac:dyDescent="0.4">
      <c r="A5" s="3" t="s">
        <v>15</v>
      </c>
      <c r="B5" s="7">
        <v>2059.7142857142858</v>
      </c>
      <c r="F5" s="3" t="s">
        <v>10</v>
      </c>
      <c r="G5" s="7">
        <v>420</v>
      </c>
      <c r="H5" s="7">
        <v>4764.2857142857147</v>
      </c>
      <c r="I5" s="7">
        <v>2712.5</v>
      </c>
      <c r="J5" s="7">
        <v>2893.75</v>
      </c>
      <c r="N5" s="3" t="s">
        <v>26</v>
      </c>
      <c r="O5">
        <v>127</v>
      </c>
      <c r="T5" t="s">
        <v>22</v>
      </c>
      <c r="V5">
        <v>100</v>
      </c>
      <c r="AB5" s="3" t="s">
        <v>22</v>
      </c>
      <c r="AC5" s="7">
        <v>38175</v>
      </c>
      <c r="AM5" t="s">
        <v>31</v>
      </c>
      <c r="AO5">
        <v>9</v>
      </c>
      <c r="BC5" s="3" t="s">
        <v>13</v>
      </c>
      <c r="BD5" s="7">
        <v>61800</v>
      </c>
      <c r="BI5" s="3" t="s">
        <v>144</v>
      </c>
      <c r="BJ5" s="5">
        <v>0.14550500545148182</v>
      </c>
      <c r="BT5" s="3" t="s">
        <v>143</v>
      </c>
      <c r="BU5" s="5">
        <v>7.0294380017841218E-2</v>
      </c>
      <c r="CB5" t="s">
        <v>26</v>
      </c>
      <c r="CC5" s="7">
        <v>10015</v>
      </c>
      <c r="CH5" t="s">
        <v>26</v>
      </c>
      <c r="CI5" s="7">
        <v>24</v>
      </c>
      <c r="CJ5" s="7">
        <v>10015</v>
      </c>
      <c r="CK5" s="7">
        <v>127</v>
      </c>
      <c r="CN5" s="3" t="s">
        <v>76</v>
      </c>
      <c r="CO5">
        <v>8</v>
      </c>
      <c r="CP5" s="5">
        <v>1.0110020814748736E-2</v>
      </c>
      <c r="CV5" s="4" t="s">
        <v>144</v>
      </c>
      <c r="CW5" s="7">
        <v>17050</v>
      </c>
      <c r="CZ5" s="3" t="s">
        <v>24</v>
      </c>
      <c r="DA5" s="7"/>
      <c r="DB5" s="7"/>
      <c r="DC5" s="7">
        <v>8160</v>
      </c>
      <c r="DD5" s="7">
        <v>2550</v>
      </c>
      <c r="DE5" s="7"/>
      <c r="DF5" s="7"/>
      <c r="DG5" s="7">
        <v>2565</v>
      </c>
      <c r="DH5" s="7"/>
      <c r="DI5" s="7"/>
      <c r="DJ5" s="7"/>
      <c r="DK5" s="7">
        <v>13275</v>
      </c>
    </row>
    <row r="6" spans="1:115" x14ac:dyDescent="0.4">
      <c r="A6" s="3" t="s">
        <v>10</v>
      </c>
      <c r="B6" s="7">
        <v>2893.75</v>
      </c>
      <c r="F6" s="3" t="s">
        <v>26</v>
      </c>
      <c r="G6" s="7">
        <v>369.375</v>
      </c>
      <c r="H6" s="7">
        <v>4031.818181818182</v>
      </c>
      <c r="I6" s="7">
        <v>2410</v>
      </c>
      <c r="J6" s="7">
        <v>2473.125</v>
      </c>
      <c r="N6" s="3" t="s">
        <v>135</v>
      </c>
      <c r="O6">
        <v>565</v>
      </c>
      <c r="T6" t="s">
        <v>34</v>
      </c>
      <c r="V6">
        <v>55</v>
      </c>
      <c r="AB6" s="3" t="s">
        <v>34</v>
      </c>
      <c r="AC6" s="7">
        <v>34065</v>
      </c>
      <c r="AM6" t="s">
        <v>46</v>
      </c>
      <c r="AO6">
        <v>70</v>
      </c>
      <c r="BC6" s="3" t="s">
        <v>135</v>
      </c>
      <c r="BD6" s="7">
        <v>252225</v>
      </c>
      <c r="BI6" s="3" t="s">
        <v>145</v>
      </c>
      <c r="BJ6" s="5">
        <v>6.0759242739617407E-2</v>
      </c>
      <c r="BT6" s="3" t="s">
        <v>144</v>
      </c>
      <c r="BU6" s="5">
        <v>0.14550500545148182</v>
      </c>
      <c r="CB6" t="s">
        <v>135</v>
      </c>
      <c r="CC6" s="7">
        <v>44365</v>
      </c>
      <c r="CH6" t="s">
        <v>135</v>
      </c>
      <c r="CI6" s="7">
        <v>100</v>
      </c>
      <c r="CJ6" s="7">
        <v>44365</v>
      </c>
      <c r="CK6" s="7">
        <v>565</v>
      </c>
      <c r="CN6" s="3" t="s">
        <v>47</v>
      </c>
      <c r="CO6">
        <v>11</v>
      </c>
      <c r="CP6" s="5">
        <v>0.28545941123996432</v>
      </c>
      <c r="CV6" s="4" t="s">
        <v>145</v>
      </c>
      <c r="CW6" s="7">
        <v>225</v>
      </c>
      <c r="CZ6" s="3" t="s">
        <v>18</v>
      </c>
      <c r="DA6" s="7"/>
      <c r="DB6" s="7"/>
      <c r="DC6" s="7"/>
      <c r="DD6" s="7"/>
      <c r="DE6" s="7">
        <v>72000</v>
      </c>
      <c r="DF6" s="7">
        <v>7500</v>
      </c>
      <c r="DG6" s="7"/>
      <c r="DH6" s="7">
        <v>60000</v>
      </c>
      <c r="DI6" s="7">
        <v>5250</v>
      </c>
      <c r="DJ6" s="7">
        <v>32400</v>
      </c>
      <c r="DK6" s="7">
        <v>177150</v>
      </c>
    </row>
    <row r="7" spans="1:115" x14ac:dyDescent="0.4">
      <c r="A7" s="3" t="s">
        <v>26</v>
      </c>
      <c r="B7" s="7">
        <v>2473.125</v>
      </c>
      <c r="F7" s="3" t="s">
        <v>135</v>
      </c>
      <c r="G7" s="7">
        <v>442.5</v>
      </c>
      <c r="H7" s="7">
        <v>3769.1489361702129</v>
      </c>
      <c r="I7" s="7">
        <v>2686.9565217391305</v>
      </c>
      <c r="J7" s="7">
        <v>2522.25</v>
      </c>
      <c r="T7" t="s">
        <v>11</v>
      </c>
      <c r="V7">
        <v>79</v>
      </c>
      <c r="AB7" s="3" t="s">
        <v>11</v>
      </c>
      <c r="AC7" s="7">
        <v>36550</v>
      </c>
      <c r="AM7" t="s">
        <v>22</v>
      </c>
      <c r="AO7">
        <v>40</v>
      </c>
      <c r="BI7" s="3" t="s">
        <v>146</v>
      </c>
      <c r="BJ7" s="5">
        <v>5.146198830409357E-2</v>
      </c>
      <c r="BT7" s="3" t="s">
        <v>145</v>
      </c>
      <c r="BU7" s="5">
        <v>6.0759242739617407E-2</v>
      </c>
      <c r="CN7" s="3" t="s">
        <v>20</v>
      </c>
      <c r="CO7">
        <v>5</v>
      </c>
      <c r="CP7" s="5">
        <v>2.9735355337496282E-2</v>
      </c>
      <c r="CV7" s="4" t="s">
        <v>146</v>
      </c>
      <c r="CW7" s="7">
        <v>780</v>
      </c>
      <c r="CZ7" s="3" t="s">
        <v>13</v>
      </c>
      <c r="DA7" s="7">
        <v>34300</v>
      </c>
      <c r="DB7" s="7">
        <v>27500</v>
      </c>
      <c r="DC7" s="7"/>
      <c r="DD7" s="7"/>
      <c r="DE7" s="7"/>
      <c r="DF7" s="7"/>
      <c r="DG7" s="7"/>
      <c r="DH7" s="7"/>
      <c r="DI7" s="7"/>
      <c r="DJ7" s="7"/>
      <c r="DK7" s="7">
        <v>61800</v>
      </c>
    </row>
    <row r="8" spans="1:115" x14ac:dyDescent="0.4">
      <c r="A8" s="3" t="s">
        <v>135</v>
      </c>
      <c r="B8" s="7">
        <v>2522.25</v>
      </c>
      <c r="T8" t="s">
        <v>16</v>
      </c>
      <c r="V8">
        <v>100</v>
      </c>
      <c r="AB8" s="3" t="s">
        <v>16</v>
      </c>
      <c r="AC8" s="7">
        <v>33915</v>
      </c>
      <c r="AM8" t="s">
        <v>34</v>
      </c>
      <c r="AO8">
        <v>25</v>
      </c>
      <c r="BI8" s="3" t="s">
        <v>147</v>
      </c>
      <c r="BJ8" s="5">
        <v>9.9712558231737539E-2</v>
      </c>
      <c r="BT8" s="3" t="s">
        <v>146</v>
      </c>
      <c r="BU8" s="5">
        <v>5.146198830409357E-2</v>
      </c>
      <c r="CN8" s="3" t="s">
        <v>39</v>
      </c>
      <c r="CO8">
        <v>11</v>
      </c>
      <c r="CP8" s="5">
        <v>1.0169491525423728E-2</v>
      </c>
      <c r="CV8" s="4" t="s">
        <v>148</v>
      </c>
      <c r="CW8" s="7">
        <v>8625</v>
      </c>
      <c r="CZ8" s="3" t="s">
        <v>135</v>
      </c>
      <c r="DA8" s="7">
        <v>34300</v>
      </c>
      <c r="DB8" s="7">
        <v>27500</v>
      </c>
      <c r="DC8" s="7">
        <v>8160</v>
      </c>
      <c r="DD8" s="7">
        <v>2550</v>
      </c>
      <c r="DE8" s="7">
        <v>72000</v>
      </c>
      <c r="DF8" s="7">
        <v>7500</v>
      </c>
      <c r="DG8" s="7">
        <v>2565</v>
      </c>
      <c r="DH8" s="7">
        <v>60000</v>
      </c>
      <c r="DI8" s="7">
        <v>5250</v>
      </c>
      <c r="DJ8" s="7">
        <v>32400</v>
      </c>
      <c r="DK8" s="7">
        <v>252225</v>
      </c>
    </row>
    <row r="9" spans="1:115" x14ac:dyDescent="0.4">
      <c r="T9" t="s">
        <v>27</v>
      </c>
      <c r="V9">
        <v>72</v>
      </c>
      <c r="AB9" s="3" t="s">
        <v>27</v>
      </c>
      <c r="AC9" s="7">
        <v>25290</v>
      </c>
      <c r="AM9" t="s">
        <v>11</v>
      </c>
      <c r="AO9">
        <v>52</v>
      </c>
      <c r="BI9" s="3" t="s">
        <v>148</v>
      </c>
      <c r="BJ9" s="5">
        <v>0.10732480919813658</v>
      </c>
      <c r="BT9" s="3" t="s">
        <v>147</v>
      </c>
      <c r="BU9" s="5">
        <v>9.9712558231737539E-2</v>
      </c>
      <c r="CN9" s="3" t="s">
        <v>17</v>
      </c>
      <c r="CO9">
        <v>14</v>
      </c>
      <c r="CP9" s="5">
        <v>0.23788284269997026</v>
      </c>
      <c r="CV9" s="4" t="s">
        <v>149</v>
      </c>
      <c r="CW9" s="7">
        <v>5775</v>
      </c>
    </row>
    <row r="10" spans="1:115" x14ac:dyDescent="0.4">
      <c r="AB10" s="3" t="s">
        <v>135</v>
      </c>
      <c r="AC10" s="7">
        <v>252225</v>
      </c>
      <c r="AM10" t="s">
        <v>16</v>
      </c>
      <c r="AO10">
        <v>39</v>
      </c>
      <c r="BI10" s="3" t="s">
        <v>149</v>
      </c>
      <c r="BJ10" s="5">
        <v>7.2058677767865995E-2</v>
      </c>
      <c r="BT10" s="3" t="s">
        <v>148</v>
      </c>
      <c r="BU10" s="5">
        <v>0.10732480919813658</v>
      </c>
      <c r="CN10" s="3" t="s">
        <v>49</v>
      </c>
      <c r="CO10">
        <v>5</v>
      </c>
      <c r="CP10" s="5">
        <v>2.0814748736247397E-2</v>
      </c>
      <c r="CV10" s="4" t="s">
        <v>150</v>
      </c>
      <c r="CW10" s="7">
        <v>3600</v>
      </c>
    </row>
    <row r="11" spans="1:115" x14ac:dyDescent="0.4">
      <c r="AM11" t="s">
        <v>27</v>
      </c>
      <c r="AO11">
        <v>16</v>
      </c>
      <c r="BI11" s="3" t="s">
        <v>150</v>
      </c>
      <c r="BJ11" s="5">
        <v>5.3939934582218255E-2</v>
      </c>
      <c r="BT11" s="3" t="s">
        <v>149</v>
      </c>
      <c r="BU11" s="5">
        <v>7.2058677767865995E-2</v>
      </c>
      <c r="CN11" s="3" t="s">
        <v>28</v>
      </c>
      <c r="CO11">
        <v>12</v>
      </c>
      <c r="CP11" s="5">
        <v>0.12845673505798394</v>
      </c>
      <c r="CV11" s="4" t="s">
        <v>151</v>
      </c>
      <c r="CW11" s="7">
        <v>7200</v>
      </c>
    </row>
    <row r="12" spans="1:115" x14ac:dyDescent="0.4">
      <c r="BI12" s="3" t="s">
        <v>151</v>
      </c>
      <c r="BJ12" s="5">
        <v>6.4426603231241941E-2</v>
      </c>
      <c r="BT12" s="3" t="s">
        <v>150</v>
      </c>
      <c r="BU12" s="5">
        <v>5.3939934582218255E-2</v>
      </c>
      <c r="CN12" s="3" t="s">
        <v>135</v>
      </c>
      <c r="CO12">
        <v>100</v>
      </c>
      <c r="CP12" s="5">
        <v>1</v>
      </c>
      <c r="CV12" s="4" t="s">
        <v>152</v>
      </c>
      <c r="CW12" s="7">
        <v>8250</v>
      </c>
    </row>
    <row r="13" spans="1:115" x14ac:dyDescent="0.4">
      <c r="BI13" s="3" t="s">
        <v>152</v>
      </c>
      <c r="BJ13" s="5">
        <v>8.1732580037664787E-2</v>
      </c>
      <c r="BT13" s="3" t="s">
        <v>151</v>
      </c>
      <c r="BU13" s="5">
        <v>6.4426603231241941E-2</v>
      </c>
      <c r="CV13" s="3" t="s">
        <v>15</v>
      </c>
      <c r="CW13" s="7">
        <v>72090</v>
      </c>
    </row>
    <row r="14" spans="1:115" x14ac:dyDescent="0.4">
      <c r="BT14" s="3" t="s">
        <v>152</v>
      </c>
      <c r="BU14" s="5">
        <v>8.1732580037664787E-2</v>
      </c>
      <c r="CV14" s="4" t="s">
        <v>141</v>
      </c>
      <c r="CW14" s="7">
        <v>1130</v>
      </c>
    </row>
    <row r="15" spans="1:115" x14ac:dyDescent="0.4">
      <c r="CV15" s="4" t="s">
        <v>142</v>
      </c>
      <c r="CW15" s="7">
        <v>13900</v>
      </c>
    </row>
    <row r="16" spans="1:115" x14ac:dyDescent="0.4">
      <c r="CV16" s="4" t="s">
        <v>143</v>
      </c>
      <c r="CW16" s="7">
        <v>1830</v>
      </c>
    </row>
    <row r="17" spans="100:101" x14ac:dyDescent="0.4">
      <c r="CV17" s="4" t="s">
        <v>144</v>
      </c>
      <c r="CW17" s="7">
        <v>11680</v>
      </c>
    </row>
    <row r="18" spans="100:101" x14ac:dyDescent="0.4">
      <c r="CV18" s="4" t="s">
        <v>145</v>
      </c>
      <c r="CW18" s="7">
        <v>800</v>
      </c>
    </row>
    <row r="19" spans="100:101" x14ac:dyDescent="0.4">
      <c r="CV19" s="4" t="s">
        <v>146</v>
      </c>
      <c r="CW19" s="7">
        <v>10450</v>
      </c>
    </row>
    <row r="20" spans="100:101" x14ac:dyDescent="0.4">
      <c r="CV20" s="4" t="s">
        <v>148</v>
      </c>
      <c r="CW20" s="7">
        <v>5835</v>
      </c>
    </row>
    <row r="21" spans="100:101" x14ac:dyDescent="0.4">
      <c r="CV21" s="4" t="s">
        <v>149</v>
      </c>
      <c r="CW21" s="7">
        <v>4000</v>
      </c>
    </row>
    <row r="22" spans="100:101" x14ac:dyDescent="0.4">
      <c r="CV22" s="4" t="s">
        <v>150</v>
      </c>
      <c r="CW22" s="7">
        <v>3350</v>
      </c>
    </row>
    <row r="23" spans="100:101" x14ac:dyDescent="0.4">
      <c r="CV23" s="4" t="s">
        <v>151</v>
      </c>
      <c r="CW23" s="7">
        <v>7950</v>
      </c>
    </row>
    <row r="24" spans="100:101" x14ac:dyDescent="0.4">
      <c r="CV24" s="4" t="s">
        <v>152</v>
      </c>
      <c r="CW24" s="7">
        <v>11165</v>
      </c>
    </row>
    <row r="25" spans="100:101" x14ac:dyDescent="0.4">
      <c r="CV25" s="3" t="s">
        <v>10</v>
      </c>
      <c r="CW25" s="7">
        <v>46300</v>
      </c>
    </row>
    <row r="26" spans="100:101" x14ac:dyDescent="0.4">
      <c r="CV26" s="4" t="s">
        <v>141</v>
      </c>
      <c r="CW26" s="7">
        <v>5295</v>
      </c>
    </row>
    <row r="27" spans="100:101" x14ac:dyDescent="0.4">
      <c r="CV27" s="4" t="s">
        <v>143</v>
      </c>
      <c r="CW27" s="7">
        <v>450</v>
      </c>
    </row>
    <row r="28" spans="100:101" x14ac:dyDescent="0.4">
      <c r="CV28" s="4" t="s">
        <v>144</v>
      </c>
      <c r="CW28" s="7">
        <v>2370</v>
      </c>
    </row>
    <row r="29" spans="100:101" x14ac:dyDescent="0.4">
      <c r="CV29" s="4" t="s">
        <v>145</v>
      </c>
      <c r="CW29" s="7">
        <v>11900</v>
      </c>
    </row>
    <row r="30" spans="100:101" x14ac:dyDescent="0.4">
      <c r="CV30" s="4" t="s">
        <v>146</v>
      </c>
      <c r="CW30" s="7">
        <v>1750</v>
      </c>
    </row>
    <row r="31" spans="100:101" x14ac:dyDescent="0.4">
      <c r="CV31" s="4" t="s">
        <v>147</v>
      </c>
      <c r="CW31" s="7">
        <v>19200</v>
      </c>
    </row>
    <row r="32" spans="100:101" x14ac:dyDescent="0.4">
      <c r="CV32" s="4" t="s">
        <v>149</v>
      </c>
      <c r="CW32" s="7">
        <v>4400</v>
      </c>
    </row>
    <row r="33" spans="36:101" x14ac:dyDescent="0.4">
      <c r="CV33" s="4" t="s">
        <v>150</v>
      </c>
      <c r="CW33" s="7">
        <v>935</v>
      </c>
    </row>
    <row r="34" spans="36:101" x14ac:dyDescent="0.4">
      <c r="CV34" s="3" t="s">
        <v>26</v>
      </c>
      <c r="CW34" s="7">
        <v>59355</v>
      </c>
    </row>
    <row r="35" spans="36:101" x14ac:dyDescent="0.4">
      <c r="CV35" s="4" t="s">
        <v>141</v>
      </c>
      <c r="CW35" s="7">
        <v>10800</v>
      </c>
    </row>
    <row r="36" spans="36:101" x14ac:dyDescent="0.4">
      <c r="CV36" s="4" t="s">
        <v>142</v>
      </c>
      <c r="CW36" s="7">
        <v>2775</v>
      </c>
    </row>
    <row r="37" spans="36:101" x14ac:dyDescent="0.4">
      <c r="CV37" s="4" t="s">
        <v>143</v>
      </c>
      <c r="CW37" s="7">
        <v>7200</v>
      </c>
    </row>
    <row r="38" spans="36:101" x14ac:dyDescent="0.4">
      <c r="CV38" s="4" t="s">
        <v>144</v>
      </c>
      <c r="CW38" s="7">
        <v>5600</v>
      </c>
    </row>
    <row r="39" spans="36:101" x14ac:dyDescent="0.4">
      <c r="AJ39" s="2" t="s">
        <v>3</v>
      </c>
      <c r="AK39" t="s">
        <v>137</v>
      </c>
      <c r="CV39" s="4" t="s">
        <v>145</v>
      </c>
      <c r="CW39" s="7">
        <v>2400</v>
      </c>
    </row>
    <row r="40" spans="36:101" x14ac:dyDescent="0.4">
      <c r="CV40" s="4" t="s">
        <v>147</v>
      </c>
      <c r="CW40" s="7">
        <v>5950</v>
      </c>
    </row>
    <row r="41" spans="36:101" x14ac:dyDescent="0.4">
      <c r="AJ41" s="2" t="s">
        <v>1</v>
      </c>
      <c r="AK41" t="s">
        <v>139</v>
      </c>
      <c r="CV41" s="4" t="s">
        <v>148</v>
      </c>
      <c r="CW41" s="7">
        <v>12610</v>
      </c>
    </row>
    <row r="42" spans="36:101" x14ac:dyDescent="0.4">
      <c r="AJ42" s="6">
        <v>45296</v>
      </c>
      <c r="AK42">
        <v>4</v>
      </c>
      <c r="CV42" s="4" t="s">
        <v>149</v>
      </c>
      <c r="CW42" s="7">
        <v>4000</v>
      </c>
    </row>
    <row r="43" spans="36:101" x14ac:dyDescent="0.4">
      <c r="AJ43" s="6">
        <v>45297</v>
      </c>
      <c r="AK43">
        <v>1</v>
      </c>
      <c r="CV43" s="4" t="s">
        <v>150</v>
      </c>
      <c r="CW43" s="7">
        <v>5720</v>
      </c>
    </row>
    <row r="44" spans="36:101" x14ac:dyDescent="0.4">
      <c r="AJ44" s="6">
        <v>45303</v>
      </c>
      <c r="AK44">
        <v>10</v>
      </c>
      <c r="BU44" t="s">
        <v>134</v>
      </c>
      <c r="BV44" t="s">
        <v>140</v>
      </c>
      <c r="CV44" s="4" t="s">
        <v>151</v>
      </c>
      <c r="CW44" s="7">
        <v>1100</v>
      </c>
    </row>
    <row r="45" spans="36:101" x14ac:dyDescent="0.4">
      <c r="AJ45" s="6">
        <v>45306</v>
      </c>
      <c r="AK45">
        <v>9</v>
      </c>
      <c r="BU45" t="s">
        <v>30</v>
      </c>
      <c r="BV45">
        <v>74480</v>
      </c>
      <c r="CV45" s="4" t="s">
        <v>152</v>
      </c>
      <c r="CW45" s="7">
        <v>1200</v>
      </c>
    </row>
    <row r="46" spans="36:101" x14ac:dyDescent="0.4">
      <c r="AJ46" s="6">
        <v>45307</v>
      </c>
      <c r="AK46">
        <v>2</v>
      </c>
      <c r="BU46" t="s">
        <v>15</v>
      </c>
      <c r="BV46">
        <v>72090</v>
      </c>
      <c r="CV46" s="3" t="s">
        <v>135</v>
      </c>
      <c r="CW46" s="7">
        <v>252225</v>
      </c>
    </row>
    <row r="47" spans="36:101" x14ac:dyDescent="0.4">
      <c r="AJ47" s="6">
        <v>45314</v>
      </c>
      <c r="AK47">
        <v>10</v>
      </c>
      <c r="BU47" t="s">
        <v>10</v>
      </c>
      <c r="BV47">
        <v>46300</v>
      </c>
    </row>
    <row r="48" spans="36:101" x14ac:dyDescent="0.4">
      <c r="AJ48" s="6">
        <v>45318</v>
      </c>
      <c r="AK48">
        <v>7</v>
      </c>
      <c r="BU48" t="s">
        <v>26</v>
      </c>
      <c r="BV48">
        <v>59355</v>
      </c>
    </row>
    <row r="49" spans="1:74" x14ac:dyDescent="0.4">
      <c r="AJ49" s="6">
        <v>45324</v>
      </c>
      <c r="AK49">
        <v>4</v>
      </c>
      <c r="BU49" t="s">
        <v>135</v>
      </c>
      <c r="BV49">
        <v>252225</v>
      </c>
    </row>
    <row r="50" spans="1:74" x14ac:dyDescent="0.4">
      <c r="AJ50" s="6">
        <v>45334</v>
      </c>
      <c r="AK50">
        <v>6</v>
      </c>
    </row>
    <row r="51" spans="1:74" x14ac:dyDescent="0.4">
      <c r="AJ51" s="6">
        <v>45335</v>
      </c>
      <c r="AK51">
        <v>11</v>
      </c>
    </row>
    <row r="52" spans="1:74" x14ac:dyDescent="0.4">
      <c r="AJ52" s="6">
        <v>45337</v>
      </c>
      <c r="AK52">
        <v>5</v>
      </c>
    </row>
    <row r="53" spans="1:74" ht="20.5" customHeight="1" x14ac:dyDescent="0.4">
      <c r="AJ53" s="6">
        <v>45340</v>
      </c>
      <c r="AK53">
        <v>3</v>
      </c>
    </row>
    <row r="54" spans="1:74" s="9" customFormat="1" x14ac:dyDescent="0.4">
      <c r="AJ54" s="8">
        <v>45345</v>
      </c>
      <c r="AK54" s="9">
        <v>1</v>
      </c>
    </row>
    <row r="55" spans="1:74" x14ac:dyDescent="0.4">
      <c r="AJ55" s="6">
        <v>45346</v>
      </c>
      <c r="AK55">
        <v>9</v>
      </c>
    </row>
    <row r="56" spans="1:74" x14ac:dyDescent="0.4">
      <c r="AJ56" s="6">
        <v>45347</v>
      </c>
      <c r="AK56">
        <v>13</v>
      </c>
    </row>
    <row r="57" spans="1:74" x14ac:dyDescent="0.4">
      <c r="A57" s="2" t="s">
        <v>134</v>
      </c>
      <c r="B57" t="s">
        <v>140</v>
      </c>
      <c r="D57" s="10">
        <f>GETPIVOTDATA("Total Sales",$A$57)</f>
        <v>252225</v>
      </c>
      <c r="AJ57" s="6">
        <v>45350</v>
      </c>
      <c r="AK57">
        <v>3</v>
      </c>
    </row>
    <row r="58" spans="1:74" x14ac:dyDescent="0.4">
      <c r="A58" s="3" t="s">
        <v>30</v>
      </c>
      <c r="B58" s="7">
        <v>74480</v>
      </c>
      <c r="AJ58" s="6">
        <v>45357</v>
      </c>
      <c r="AK58">
        <v>5</v>
      </c>
    </row>
    <row r="59" spans="1:74" x14ac:dyDescent="0.4">
      <c r="A59" s="3" t="s">
        <v>15</v>
      </c>
      <c r="B59" s="7">
        <v>72090</v>
      </c>
      <c r="AJ59" s="6">
        <v>45363</v>
      </c>
      <c r="AK59">
        <v>6</v>
      </c>
    </row>
    <row r="60" spans="1:74" x14ac:dyDescent="0.4">
      <c r="A60" s="3" t="s">
        <v>10</v>
      </c>
      <c r="B60" s="7">
        <v>46300</v>
      </c>
      <c r="AJ60" s="6">
        <v>45367</v>
      </c>
      <c r="AK60">
        <v>10</v>
      </c>
    </row>
    <row r="61" spans="1:74" x14ac:dyDescent="0.4">
      <c r="A61" s="3" t="s">
        <v>26</v>
      </c>
      <c r="B61" s="7">
        <v>59355</v>
      </c>
      <c r="AJ61" s="6">
        <v>45368</v>
      </c>
      <c r="AK61">
        <v>8</v>
      </c>
    </row>
    <row r="62" spans="1:74" x14ac:dyDescent="0.4">
      <c r="A62" s="3" t="s">
        <v>135</v>
      </c>
      <c r="B62" s="7">
        <v>252225</v>
      </c>
      <c r="AJ62" s="6">
        <v>45372</v>
      </c>
      <c r="AK62">
        <v>3</v>
      </c>
    </row>
    <row r="63" spans="1:74" x14ac:dyDescent="0.4">
      <c r="A63" s="2" t="s">
        <v>134</v>
      </c>
      <c r="B63" t="s">
        <v>139</v>
      </c>
      <c r="D63" s="10">
        <f>GETPIVOTDATA("Quantity",$A$63)</f>
        <v>565</v>
      </c>
      <c r="AJ63" s="6">
        <v>45374</v>
      </c>
      <c r="AK63">
        <v>8</v>
      </c>
    </row>
    <row r="64" spans="1:74" x14ac:dyDescent="0.4">
      <c r="A64" s="3" t="s">
        <v>30</v>
      </c>
      <c r="B64" s="7">
        <v>137</v>
      </c>
      <c r="AJ64" s="6">
        <v>45380</v>
      </c>
      <c r="AK64">
        <v>3</v>
      </c>
    </row>
    <row r="65" spans="1:37" x14ac:dyDescent="0.4">
      <c r="A65" s="3" t="s">
        <v>15</v>
      </c>
      <c r="B65" s="7">
        <v>200</v>
      </c>
      <c r="AJ65" s="6">
        <v>45382</v>
      </c>
      <c r="AK65">
        <v>5</v>
      </c>
    </row>
    <row r="66" spans="1:37" x14ac:dyDescent="0.4">
      <c r="A66" s="3" t="s">
        <v>10</v>
      </c>
      <c r="B66" s="7">
        <v>101</v>
      </c>
      <c r="AJ66" s="6">
        <v>45383</v>
      </c>
      <c r="AK66">
        <v>6</v>
      </c>
    </row>
    <row r="67" spans="1:37" x14ac:dyDescent="0.4">
      <c r="A67" s="3" t="s">
        <v>26</v>
      </c>
      <c r="B67" s="7">
        <v>127</v>
      </c>
      <c r="AJ67" s="6">
        <v>45384</v>
      </c>
      <c r="AK67">
        <v>10</v>
      </c>
    </row>
    <row r="68" spans="1:37" x14ac:dyDescent="0.4">
      <c r="A68" s="3" t="s">
        <v>135</v>
      </c>
      <c r="B68" s="7">
        <v>565</v>
      </c>
      <c r="AJ68" s="6">
        <v>45385</v>
      </c>
      <c r="AK68">
        <v>10</v>
      </c>
    </row>
    <row r="69" spans="1:37" x14ac:dyDescent="0.4">
      <c r="AJ69" s="6">
        <v>45389</v>
      </c>
      <c r="AK69">
        <v>8</v>
      </c>
    </row>
    <row r="70" spans="1:37" x14ac:dyDescent="0.4">
      <c r="A70" s="2" t="s">
        <v>134</v>
      </c>
      <c r="B70" t="s">
        <v>139</v>
      </c>
      <c r="AJ70" s="6">
        <v>45394</v>
      </c>
      <c r="AK70">
        <v>16</v>
      </c>
    </row>
    <row r="71" spans="1:37" x14ac:dyDescent="0.4">
      <c r="A71" s="3" t="s">
        <v>30</v>
      </c>
      <c r="B71" s="7">
        <v>137</v>
      </c>
      <c r="AJ71" s="6">
        <v>45401</v>
      </c>
      <c r="AK71">
        <v>9</v>
      </c>
    </row>
    <row r="72" spans="1:37" x14ac:dyDescent="0.4">
      <c r="A72" s="3" t="s">
        <v>15</v>
      </c>
      <c r="B72" s="7">
        <v>200</v>
      </c>
      <c r="AJ72" s="6">
        <v>45405</v>
      </c>
      <c r="AK72">
        <v>9</v>
      </c>
    </row>
    <row r="73" spans="1:37" x14ac:dyDescent="0.4">
      <c r="A73" s="3" t="s">
        <v>10</v>
      </c>
      <c r="B73" s="7">
        <v>101</v>
      </c>
      <c r="AJ73" s="6">
        <v>45407</v>
      </c>
      <c r="AK73">
        <v>15</v>
      </c>
    </row>
    <row r="74" spans="1:37" x14ac:dyDescent="0.4">
      <c r="A74" s="3" t="s">
        <v>26</v>
      </c>
      <c r="B74" s="7">
        <v>127</v>
      </c>
      <c r="AJ74" s="6">
        <v>45419</v>
      </c>
      <c r="AK74">
        <v>10</v>
      </c>
    </row>
    <row r="75" spans="1:37" x14ac:dyDescent="0.4">
      <c r="A75" s="3" t="s">
        <v>135</v>
      </c>
      <c r="B75" s="7">
        <v>565</v>
      </c>
      <c r="AJ75" s="6">
        <v>45423</v>
      </c>
      <c r="AK75">
        <v>1</v>
      </c>
    </row>
    <row r="76" spans="1:37" x14ac:dyDescent="0.4">
      <c r="AJ76" s="6">
        <v>45429</v>
      </c>
      <c r="AK76">
        <v>3</v>
      </c>
    </row>
    <row r="77" spans="1:37" x14ac:dyDescent="0.4">
      <c r="AJ77" s="6">
        <v>45430</v>
      </c>
      <c r="AK77">
        <v>9</v>
      </c>
    </row>
    <row r="78" spans="1:37" x14ac:dyDescent="0.4">
      <c r="AJ78" s="6">
        <v>45431</v>
      </c>
      <c r="AK78">
        <v>2</v>
      </c>
    </row>
    <row r="79" spans="1:37" x14ac:dyDescent="0.4">
      <c r="AJ79" s="6">
        <v>45437</v>
      </c>
      <c r="AK79">
        <v>10</v>
      </c>
    </row>
  </sheetData>
  <pageMargins left="0.7" right="0.7" top="0.75" bottom="0.75" header="0.3" footer="0.3"/>
  <drawing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36785-CBEB-43B0-80A6-BA0617728DB8}">
  <dimension ref="A1"/>
  <sheetViews>
    <sheetView tabSelected="1" zoomScale="72" zoomScaleNormal="100" workbookViewId="0"/>
  </sheetViews>
  <sheetFormatPr defaultColWidth="8.7109375" defaultRowHeight="18" x14ac:dyDescent="0.4"/>
  <cols>
    <col min="1" max="16384" width="8.710937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50476-EFD0-4495-AD36-FD8205A6F36A}">
  <dimension ref="E50"/>
  <sheetViews>
    <sheetView zoomScale="45" zoomScaleNormal="87" workbookViewId="0">
      <selection activeCell="Y16" sqref="Y16"/>
    </sheetView>
  </sheetViews>
  <sheetFormatPr defaultColWidth="8.7109375" defaultRowHeight="18" x14ac:dyDescent="0.4"/>
  <cols>
    <col min="1" max="16384" width="8.7109375" style="1"/>
  </cols>
  <sheetData>
    <row r="50" spans="5:5" x14ac:dyDescent="0.4">
      <c r="E50" s="1">
        <f>Sheet2!C4</f>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917EF-700A-4925-B526-A33DBD873EC8}">
  <dimension ref="A1"/>
  <sheetViews>
    <sheetView zoomScale="70" zoomScaleNormal="70" workbookViewId="0">
      <selection activeCell="V1" sqref="V1"/>
    </sheetView>
  </sheetViews>
  <sheetFormatPr defaultColWidth="8.7109375" defaultRowHeight="18" x14ac:dyDescent="0.4"/>
  <cols>
    <col min="1" max="16384" width="8.71093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0D24-7177-4278-ADCB-03AF77A80E7E}">
  <dimension ref="A1"/>
  <sheetViews>
    <sheetView zoomScale="58" zoomScaleNormal="100" workbookViewId="0">
      <selection activeCell="K4" sqref="K4"/>
    </sheetView>
  </sheetViews>
  <sheetFormatPr defaultColWidth="8.7109375" defaultRowHeight="18" x14ac:dyDescent="0.4"/>
  <cols>
    <col min="1" max="16384" width="8.7109375" style="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1EC7B-068F-44A1-B202-14E2B6634506}">
  <dimension ref="A1"/>
  <sheetViews>
    <sheetView zoomScale="55" zoomScaleNormal="55" workbookViewId="0">
      <selection activeCell="C43" sqref="C43"/>
    </sheetView>
  </sheetViews>
  <sheetFormatPr defaultColWidth="8.7109375" defaultRowHeight="18" x14ac:dyDescent="0.4"/>
  <cols>
    <col min="1" max="16384" width="8.71093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Intero</vt:lpstr>
      <vt:lpstr>Region</vt:lpstr>
      <vt:lpstr>Product</vt:lpstr>
      <vt:lpstr>Sales - Rep</vt:lpstr>
      <vt:lpstr>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Amal Mahmood Mohamed</dc:creator>
  <cp:lastModifiedBy>احمد فتحى كمال مشرف</cp:lastModifiedBy>
  <dcterms:created xsi:type="dcterms:W3CDTF">2026-01-06T17:05:54Z</dcterms:created>
  <dcterms:modified xsi:type="dcterms:W3CDTF">2026-02-15T21:55:50Z</dcterms:modified>
</cp:coreProperties>
</file>