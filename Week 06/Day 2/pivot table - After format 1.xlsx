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HMED\depi\Week 6\Day 2\"/>
    </mc:Choice>
  </mc:AlternateContent>
  <xr:revisionPtr revIDLastSave="0" documentId="13_ncr:1_{A36A9B77-B22D-490C-883F-4BCFBD014EBD}" xr6:coauthVersionLast="47" xr6:coauthVersionMax="47" xr10:uidLastSave="{00000000-0000-0000-0000-000000000000}"/>
  <bookViews>
    <workbookView xWindow="-110" yWindow="-110" windowWidth="19420" windowHeight="10300" activeTab="1" xr2:uid="{49984801-274B-40C3-897B-E7A08D072ED2}"/>
  </bookViews>
  <sheets>
    <sheet name="Sheet1" sheetId="1" r:id="rId1"/>
    <sheet name="Sheet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<sst xmlns="http://schemas.openxmlformats.org/spreadsheetml/2006/main" count="603" uniqueCount="153">
  <si>
    <t>Order ID</t>
  </si>
  <si>
    <t>Date</t>
  </si>
  <si>
    <t>Region</t>
  </si>
  <si>
    <t>Sales Rep</t>
  </si>
  <si>
    <t>Product</t>
  </si>
  <si>
    <t>Category</t>
  </si>
  <si>
    <t>Quantity</t>
  </si>
  <si>
    <t>Unit Price</t>
  </si>
  <si>
    <t>Total Sales</t>
  </si>
  <si>
    <t>ORD-1000</t>
  </si>
  <si>
    <t>South</t>
  </si>
  <si>
    <t>Mike Brown</t>
  </si>
  <si>
    <t>Chair</t>
  </si>
  <si>
    <t>Furniture</t>
  </si>
  <si>
    <t>ORD-1001</t>
  </si>
  <si>
    <t>North</t>
  </si>
  <si>
    <t>Sarah Johnson</t>
  </si>
  <si>
    <t>Phone</t>
  </si>
  <si>
    <t>Electronics</t>
  </si>
  <si>
    <t>ORD-1002</t>
  </si>
  <si>
    <t>Monitor</t>
  </si>
  <si>
    <t>ORD-1003</t>
  </si>
  <si>
    <t>John Smith</t>
  </si>
  <si>
    <t>Headphones</t>
  </si>
  <si>
    <t>Accessories</t>
  </si>
  <si>
    <t>ORD-1004</t>
  </si>
  <si>
    <t>West</t>
  </si>
  <si>
    <t>Tom Anderson</t>
  </si>
  <si>
    <t>Tablet</t>
  </si>
  <si>
    <t>ORD-1005</t>
  </si>
  <si>
    <t>East</t>
  </si>
  <si>
    <t>David Wilson</t>
  </si>
  <si>
    <t>Desk</t>
  </si>
  <si>
    <t>ORD-1006</t>
  </si>
  <si>
    <t>Lisa Garcia</t>
  </si>
  <si>
    <t>ORD-1007</t>
  </si>
  <si>
    <t>ORD-1008</t>
  </si>
  <si>
    <t>ORD-1009</t>
  </si>
  <si>
    <t>ORD-1010</t>
  </si>
  <si>
    <t>Mouse</t>
  </si>
  <si>
    <t>ORD-1011</t>
  </si>
  <si>
    <t>Anna Davis</t>
  </si>
  <si>
    <t>ORD-1012</t>
  </si>
  <si>
    <t>ORD-1013</t>
  </si>
  <si>
    <t>ORD-1014</t>
  </si>
  <si>
    <t>ORD-1015</t>
  </si>
  <si>
    <t>Emma Taylor</t>
  </si>
  <si>
    <t>Laptop</t>
  </si>
  <si>
    <t>ORD-1016</t>
  </si>
  <si>
    <t>Printer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</si>
  <si>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</si>
  <si>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</si>
  <si>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</si>
  <si>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</si>
  <si>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</si>
  <si>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</si>
  <si>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</si>
  <si>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</si>
  <si>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</si>
  <si>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</si>
  <si>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</si>
  <si>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</si>
  <si>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</si>
  <si>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</si>
  <si>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</si>
  <si>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</si>
  <si>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</si>
  <si>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</si>
  <si>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</si>
  <si>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</si>
  <si>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</si>
  <si>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</si>
  <si>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</si>
  <si>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</si>
  <si>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</si>
  <si>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</si>
  <si>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Keyboard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</si>
  <si>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</si>
  <si>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</si>
  <si>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</si>
  <si>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</si>
  <si>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</si>
  <si>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</si>
  <si>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</si>
  <si>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</si>
  <si>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</si>
  <si>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</si>
  <si>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</si>
  <si>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</si>
  <si>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</si>
  <si>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</si>
  <si>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</si>
  <si>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</si>
  <si>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</si>
  <si>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</si>
  <si>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</si>
  <si>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</si>
  <si>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</si>
  <si>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</si>
  <si>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</si>
  <si>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</si>
  <si>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</si>
  <si>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</si>
  <si>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</si>
  <si>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</si>
  <si>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</si>
  <si>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</si>
  <si>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</si>
  <si>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</si>
  <si>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</si>
  <si>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</si>
  <si>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</si>
  <si>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</si>
  <si>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</si>
  <si>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</si>
  <si>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</si>
  <si>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</si>
  <si>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</si>
  <si>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</si>
  <si>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</si>
  <si>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</si>
  <si>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</si>
  <si>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</si>
  <si>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</si>
  <si>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</si>
  <si>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</si>
  <si>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</si>
  <si>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</si>
  <si>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</si>
  <si>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</si>
  <si>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</si>
  <si>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</si>
  <si>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</si>
  <si>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</si>
  <si>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Row Labels</t>
  </si>
  <si>
    <t>Grand Total</t>
  </si>
  <si>
    <t>Average of Total Sales</t>
  </si>
  <si>
    <t>(All)</t>
  </si>
  <si>
    <t>Column Labels</t>
  </si>
  <si>
    <t>Sum of Quantity</t>
  </si>
  <si>
    <t>Sum of 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</si>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</sst>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$#,##0.00"/>
    <numFmt numFmtId="166" formatCode="[&gt;=1000000]0.##,,&quot;M&quot;;[&gt;=1000]0.#,&quot;K&quot;;0"/>
    <numFmt numFmtId="167" formatCode="\$#,##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0" fontId="0" fillId="3" borderId="0" xfId="0" applyFill="1" applyAlignment="1">
      <alignment horizontal="left"/>
    </xf>
    <xf numFmtId="166" fontId="0" fillId="3" borderId="0" xfId="0" applyNumberFormat="1" applyFill="1"/>
    <xf numFmtId="10" fontId="0" fillId="3" borderId="0" xfId="0" applyNumberFormat="1" applyFill="1"/>
    <xf numFmtId="165" fontId="0" fillId="3" borderId="0" xfId="0" applyNumberFormat="1" applyFill="1"/>
    <xf numFmtId="0" fontId="2" fillId="3" borderId="0" xfId="0" applyFont="1" applyFill="1"/>
  </cellXfs>
  <cellStyles count="1">
    <cellStyle name="Normal" xfId="0" builtinId="0"/>
  </cellStyles>
  <dxfs count="137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numFmt numFmtId="166" formatCode="[&gt;=1000000]0.##,,&quot;M&quot;;[&gt;=1000]0.#,&quot;K&quot;;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numFmt numFmtId="166" formatCode="[&gt;=1000000]0.##,,&quot;M&quot;;[&gt;=1000]0.#,&quot;K&quot;;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numFmt numFmtId="166" formatCode="[&gt;=1000000]0.##,,&quot;M&quot;;[&gt;=1000]0.#,&quot;K&quot;;0"/>
    </dxf>
    <dxf>
      <numFmt numFmtId="166" formatCode="[&gt;=1000000]0.##,,&quot;M&quot;;[&gt;=1000]0.#,&quot;K&quot;;0"/>
    </dxf>
    <dxf>
      <numFmt numFmtId="166" formatCode="[&gt;=1000000]0.##,,&quot;M&quot;;[&gt;=1000]0.#,&quot;K&quot;;0"/>
    </dxf>
    <dxf>
      <numFmt numFmtId="166" formatCode="[&gt;=1000000]0.##,,&quot;M&quot;;[&gt;=1000]0.#,&quot;K&quot;;0"/>
    </dxf>
    <dxf>
      <numFmt numFmtId="166" formatCode="[&gt;=1000000]0.##,,&quot;M&quot;;[&gt;=1000]0.#,&quot;K&quot;;0"/>
    </dxf>
    <dxf>
      <numFmt numFmtId="166" formatCode="[&gt;=1000000]0.##,,&quot;M&quot;;[&gt;=1000]0.#,&quot;K&quot;;0"/>
    </dxf>
    <dxf>
      <numFmt numFmtId="166" formatCode="[&gt;=1000000]0.##,,&quot;M&quot;;[&gt;=1000]0.#,&quot;K&quot;;0"/>
    </dxf>
    <dxf>
      <numFmt numFmtId="166" formatCode="[&gt;=1000000]0.##,,&quot;M&quot;;[&gt;=1000]0.#,&quot;K&quot;;0"/>
    </dxf>
    <dxf>
      <numFmt numFmtId="166" formatCode="[&gt;=1000000]0.##,,&quot;M&quot;;[&gt;=1000]0.#,&quot;K&quot;;0"/>
    </dxf>
    <dxf>
      <numFmt numFmtId="166" formatCode="[&gt;=1000000]0.##,,&quot;M&quot;;[&gt;=1000]0.#,&quot;K&quot;;0"/>
    </dxf>
    <dxf>
      <numFmt numFmtId="166" formatCode="[&gt;=1000000]0.##,,&quot;M&quot;;[&gt;=1000]0.#,&quot;K&quot;;0"/>
    </dxf>
    <dxf>
      <numFmt numFmtId="166" formatCode="[&gt;=1000000]0.##,,&quot;M&quot;;[&gt;=1000]0.#,&quot;K&quot;;0"/>
    </dxf>
    <dxf>
      <numFmt numFmtId="166" formatCode="[&gt;=1000000]0.##,,&quot;M&quot;;[&gt;=1000]0.#,&quot;K&quot;;0"/>
    </dxf>
    <dxf>
      <numFmt numFmtId="167" formatCode="\$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numFmt numFmtId="165" formatCode="\$#,##0.00"/>
    </dxf>
    <dxf>
      <numFmt numFmtId="166" formatCode="[&gt;=1000000]0.##,,&quot;M&quot;;[&gt;=1000]0.#,&quot;K&quot;;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numFmt numFmtId="14" formatCode="0.00%"/>
    </dxf>
    <dxf>
      <numFmt numFmtId="166" formatCode="[&gt;=1000000]0.##,,&quot;M&quot;;[&gt;=1000]0.#,&quot;K&quot;;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numFmt numFmtId="166" formatCode="[&gt;=1000000]0.##,,&quot;M&quot;;[&gt;=1000]0.#,&quot;K&quot;;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numFmt numFmtId="166" formatCode="[&gt;=1000000]0.##,,&quot;M&quot;;[&gt;=1000]0.#,&quot;K&quot;;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fill>
        <patternFill patternType="solid">
          <bgColor rgb="FFEBF4DD"/>
        </patternFill>
      </fill>
    </dxf>
    <dxf>
      <numFmt numFmtId="166" formatCode="[&gt;=1000000]0.##,,&quot;M&quot;;[&gt;=1000]0.#,&quot;K&quot;;0"/>
    </dxf>
    <dxf>
      <numFmt numFmtId="165" formatCode="\$#,##0.00"/>
    </dxf>
    <dxf>
      <numFmt numFmtId="165" formatCode="\$#,##0.00"/>
    </dxf>
    <dxf>
      <numFmt numFmtId="164" formatCode="dd\-m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366092"/>
          <bgColor rgb="FF36609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62F00"/>
      <color rgb="FFFFCE99"/>
      <color rgb="FF744000"/>
      <color rgb="FFCC6600"/>
      <color rgb="FF864900"/>
      <color rgb="FF5F513B"/>
      <color rgb="FF774F27"/>
      <color rgb="FFC89400"/>
      <color rgb="FF7A5A00"/>
      <color rgb="FF492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- After format.xlsx]Sheet2!PivotTable3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tx1"/>
                </a:solidFill>
              </a:rPr>
              <a:t>No.</a:t>
            </a:r>
            <a:r>
              <a:rPr lang="en-US" b="1" i="1" baseline="0">
                <a:solidFill>
                  <a:schemeClr val="tx1"/>
                </a:solidFill>
              </a:rPr>
              <a:t>of  Quantity Order each sales Rep</a:t>
            </a:r>
            <a:endParaRPr lang="en-US" b="1" i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62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215676183501573E-2"/>
          <c:y val="0.19386740331491711"/>
          <c:w val="0.92810459366358045"/>
          <c:h val="0.734309392265193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Sheet2!$V$1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62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Sheet2!$T$2:$U$9</c:f>
              <c:strCache>
                <c:ptCount val="8"/>
                <c:pt idx="0">
                  <c:v>Anna Davis</c:v>
                </c:pt>
                <c:pt idx="1">
                  <c:v>David Wilson</c:v>
                </c:pt>
                <c:pt idx="2">
                  <c:v>Emma Taylor</c:v>
                </c:pt>
                <c:pt idx="3">
                  <c:v>John Smith</c:v>
                </c:pt>
                <c:pt idx="4">
                  <c:v>Lisa Garcia</c:v>
                </c:pt>
                <c:pt idx="5">
                  <c:v>Mike Brown</c:v>
                </c:pt>
                <c:pt idx="6">
                  <c:v>Sarah Johnson</c:v>
                </c:pt>
                <c:pt idx="7">
                  <c:v>Tom Anderson</c:v>
                </c:pt>
              </c:strCache>
            </c:strRef>
          </c:cat>
          <c:val>
            <c:numRef>
              <c:f>Sheet2!$V$2:$V$9</c:f>
              <c:numCache>
                <c:formatCode>[&gt;=1000000]0.##,,"M";[&gt;=1000]0.#,"K";0</c:formatCode>
                <c:ptCount val="8"/>
                <c:pt idx="0">
                  <c:v>22</c:v>
                </c:pt>
                <c:pt idx="1">
                  <c:v>31</c:v>
                </c:pt>
                <c:pt idx="2">
                  <c:v>106</c:v>
                </c:pt>
                <c:pt idx="3">
                  <c:v>100</c:v>
                </c:pt>
                <c:pt idx="4">
                  <c:v>55</c:v>
                </c:pt>
                <c:pt idx="5">
                  <c:v>79</c:v>
                </c:pt>
                <c:pt idx="6">
                  <c:v>100</c:v>
                </c:pt>
                <c:pt idx="7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D-42D1-A57A-7CA5FFE136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4957208"/>
        <c:axId val="634957928"/>
      </c:barChart>
      <c:catAx>
        <c:axId val="634957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FFCE9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957928"/>
        <c:crosses val="autoZero"/>
        <c:auto val="1"/>
        <c:lblAlgn val="ctr"/>
        <c:lblOffset val="100"/>
        <c:noMultiLvlLbl val="0"/>
      </c:catAx>
      <c:valAx>
        <c:axId val="634957928"/>
        <c:scaling>
          <c:orientation val="minMax"/>
        </c:scaling>
        <c:delete val="1"/>
        <c:axPos val="l"/>
        <c:numFmt formatCode="[&gt;=1000000]0.##,,&quot;M&quot;;[&gt;=1000]0.#,&quot;K&quot;;0" sourceLinked="1"/>
        <c:majorTickMark val="out"/>
        <c:minorTickMark val="none"/>
        <c:tickLblPos val="nextTo"/>
        <c:crossAx val="634957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E99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  <a:scene3d>
      <a:camera prst="orthographicFront"/>
      <a:lightRig rig="threePt" dir="t"/>
    </a:scene3d>
    <a:sp3d>
      <a:bevelT w="63500" h="635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- After format.xlsx]Sheet2!PivotTable8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tx1"/>
                </a:solidFill>
              </a:rPr>
              <a:t>Total</a:t>
            </a:r>
            <a:r>
              <a:rPr lang="en-US" b="1" i="1" baseline="0">
                <a:solidFill>
                  <a:schemeClr val="tx1"/>
                </a:solidFill>
              </a:rPr>
              <a:t>  Quantity per category</a:t>
            </a:r>
            <a:endParaRPr lang="en-US" b="1" i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62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Sheet2!$AX$1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62F00"/>
            </a:solidFill>
            <a:ln>
              <a:noFill/>
            </a:ln>
            <a:effectLst/>
          </c:spPr>
          <c:invertIfNegative val="0"/>
          <c:cat>
            <c:strRef>
              <c:f>Sheet2!$AW$2:$AW$4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Sheet2!$AX$2:$AX$4</c:f>
              <c:numCache>
                <c:formatCode>[&gt;=1000000]0.##,,"M";[&gt;=1000]0.#,"K";0</c:formatCode>
                <c:ptCount val="3"/>
                <c:pt idx="0">
                  <c:v>159</c:v>
                </c:pt>
                <c:pt idx="1">
                  <c:v>253</c:v>
                </c:pt>
                <c:pt idx="2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F-4671-879C-A903DD00A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778400"/>
        <c:axId val="646767240"/>
      </c:barChart>
      <c:catAx>
        <c:axId val="64677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767240"/>
        <c:crosses val="autoZero"/>
        <c:auto val="1"/>
        <c:lblAlgn val="ctr"/>
        <c:lblOffset val="100"/>
        <c:noMultiLvlLbl val="0"/>
      </c:catAx>
      <c:valAx>
        <c:axId val="646767240"/>
        <c:scaling>
          <c:orientation val="minMax"/>
        </c:scaling>
        <c:delete val="1"/>
        <c:axPos val="l"/>
        <c:numFmt formatCode="[&gt;=1000000]0.##,,&quot;M&quot;;[&gt;=1000]0.#,&quot;K&quot;;0" sourceLinked="1"/>
        <c:majorTickMark val="none"/>
        <c:minorTickMark val="none"/>
        <c:tickLblPos val="nextTo"/>
        <c:crossAx val="64677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E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12700"/>
    </a:effectLst>
    <a:scene3d>
      <a:camera prst="orthographicFront"/>
      <a:lightRig rig="threePt" dir="t"/>
    </a:scene3d>
    <a:sp3d>
      <a:bevelT w="63500" h="635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- After format.xlsx]Sheet2!PivotTable10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tx1"/>
                </a:solidFill>
              </a:rPr>
              <a:t>Total</a:t>
            </a:r>
            <a:r>
              <a:rPr lang="en-US" b="1" i="1" baseline="0">
                <a:solidFill>
                  <a:schemeClr val="tx1"/>
                </a:solidFill>
              </a:rPr>
              <a:t>  sales by date</a:t>
            </a:r>
            <a:endParaRPr lang="en-US" b="1" i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562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Sheet2!$BU$2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562F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Sheet2!$BT$3:$BT$14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Sheet2!$BU$3:$BU$14</c:f>
              <c:numCache>
                <c:formatCode>[&gt;=1000000]0.##,,"M";[&gt;=1000]0.#,"K";0</c:formatCode>
                <c:ptCount val="12"/>
                <c:pt idx="0">
                  <c:v>17225</c:v>
                </c:pt>
                <c:pt idx="1">
                  <c:v>31400</c:v>
                </c:pt>
                <c:pt idx="2">
                  <c:v>17730</c:v>
                </c:pt>
                <c:pt idx="3">
                  <c:v>36700</c:v>
                </c:pt>
                <c:pt idx="4">
                  <c:v>15325</c:v>
                </c:pt>
                <c:pt idx="5">
                  <c:v>12980</c:v>
                </c:pt>
                <c:pt idx="6">
                  <c:v>25150</c:v>
                </c:pt>
                <c:pt idx="7">
                  <c:v>27070</c:v>
                </c:pt>
                <c:pt idx="8">
                  <c:v>18175</c:v>
                </c:pt>
                <c:pt idx="9">
                  <c:v>13605</c:v>
                </c:pt>
                <c:pt idx="10">
                  <c:v>16250</c:v>
                </c:pt>
                <c:pt idx="11">
                  <c:v>20615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C-4D71-8E62-ACA2D4B736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34974128"/>
        <c:axId val="634976648"/>
      </c:lineChart>
      <c:catAx>
        <c:axId val="63497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976648"/>
        <c:crosses val="autoZero"/>
        <c:auto val="1"/>
        <c:lblAlgn val="ctr"/>
        <c:lblOffset val="100"/>
        <c:noMultiLvlLbl val="0"/>
      </c:catAx>
      <c:valAx>
        <c:axId val="634976648"/>
        <c:scaling>
          <c:orientation val="minMax"/>
        </c:scaling>
        <c:delete val="1"/>
        <c:axPos val="l"/>
        <c:numFmt formatCode="[&gt;=1000000]0.##,,&quot;M&quot;;[&gt;=1000]0.#,&quot;K&quot;;0" sourceLinked="1"/>
        <c:majorTickMark val="none"/>
        <c:minorTickMark val="none"/>
        <c:tickLblPos val="nextTo"/>
        <c:crossAx val="63497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E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w="63500" h="63500"/>
      <a:bevelB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[pivot table - After format.xlsx]Sheet2!PivotTable1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1">
                <a:solidFill>
                  <a:schemeClr val="tx1"/>
                </a:solidFill>
              </a:rPr>
              <a:t>Avarage</a:t>
            </a:r>
            <a:r>
              <a:rPr lang="en-US" sz="1200" b="1" i="1" baseline="0">
                <a:solidFill>
                  <a:schemeClr val="tx1"/>
                </a:solidFill>
              </a:rPr>
              <a:t> Sales per Region</a:t>
            </a:r>
            <a:endParaRPr lang="en-US" sz="1200" b="1" i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37061175045427"/>
          <c:y val="3.6036036036036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330798908016145"/>
              <c:y val="-0.186125990640516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406876790830947"/>
              <c:y val="-0.122201905326746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208379396701489"/>
              <c:y val="4.19440797789382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646774812174267"/>
              <c:y val="8.26780482211868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330798908016145"/>
              <c:y val="-0.186125990640516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646774812174267"/>
              <c:y val="8.26780482211868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208379396701489"/>
              <c:y val="4.19440797789382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406876790830947"/>
              <c:y val="-0.122201905326746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j-lt"/>
                  <a:ea typeface="ADLaM Display" panose="020F0502020204030204" pitchFamily="2" charset="0"/>
                  <a:cs typeface="ADLaM Display" panose="020F0502020204030204" pitchFamily="2" charset="0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562F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330798908016145"/>
              <c:y val="-0.186125990640516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j-lt"/>
                  <a:ea typeface="ADLaM Display" panose="020F0502020204030204" pitchFamily="2" charset="0"/>
                  <a:cs typeface="ADLaM Display" panose="020F0502020204030204" pitchFamily="2" charset="0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646774812174267"/>
              <c:y val="8.26780482211868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j-lt"/>
                  <a:ea typeface="ADLaM Display" panose="020F0502020204030204" pitchFamily="2" charset="0"/>
                  <a:cs typeface="ADLaM Display" panose="020F0502020204030204" pitchFamily="2" charset="0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C66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2977589339794063"/>
              <c:y val="0.1080102149393488"/>
            </c:manualLayout>
          </c:layout>
          <c:spPr>
            <a:noFill/>
            <a:ln>
              <a:solidFill>
                <a:srgbClr val="00B7B5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j-lt"/>
                  <a:ea typeface="ADLaM Display" panose="020F0502020204030204" pitchFamily="2" charset="0"/>
                  <a:cs typeface="ADLaM Display" panose="020F0502020204030204" pitchFamily="2" charset="0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5F513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406876790830947"/>
              <c:y val="-0.122201905326746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j-lt"/>
                  <a:ea typeface="ADLaM Display" panose="020F0502020204030204" pitchFamily="2" charset="0"/>
                  <a:cs typeface="ADLaM Display" panose="020F0502020204030204" pitchFamily="2" charset="0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09630526953363"/>
          <c:y val="0.24971837979711994"/>
          <c:w val="0.63380787401574801"/>
          <c:h val="0.61858125842377809"/>
        </c:manualLayout>
      </c:layout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62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D3-4D8A-9316-D699582BE875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D3-4D8A-9316-D699582BE875}"/>
              </c:ext>
            </c:extLst>
          </c:dPt>
          <c:dPt>
            <c:idx val="2"/>
            <c:bubble3D val="0"/>
            <c:spPr>
              <a:solidFill>
                <a:srgbClr val="CC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D3-4D8A-9316-D699582BE875}"/>
              </c:ext>
            </c:extLst>
          </c:dPt>
          <c:dPt>
            <c:idx val="3"/>
            <c:bubble3D val="0"/>
            <c:spPr>
              <a:solidFill>
                <a:srgbClr val="5F513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D3-4D8A-9316-D699582BE875}"/>
              </c:ext>
            </c:extLst>
          </c:dPt>
          <c:dLbls>
            <c:dLbl>
              <c:idx val="0"/>
              <c:layout>
                <c:manualLayout>
                  <c:x val="0.16330798908016145"/>
                  <c:y val="-0.186125990640516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D3-4D8A-9316-D699582BE875}"/>
                </c:ext>
              </c:extLst>
            </c:dLbl>
            <c:dLbl>
              <c:idx val="1"/>
              <c:layout>
                <c:manualLayout>
                  <c:x val="0.19646774812174267"/>
                  <c:y val="8.267804822118687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D3-4D8A-9316-D699582BE875}"/>
                </c:ext>
              </c:extLst>
            </c:dLbl>
            <c:dLbl>
              <c:idx val="2"/>
              <c:layout>
                <c:manualLayout>
                  <c:x val="-0.22977589339794063"/>
                  <c:y val="0.1080102149393488"/>
                </c:manualLayout>
              </c:layout>
              <c:spPr>
                <a:noFill/>
                <a:ln>
                  <a:solidFill>
                    <a:srgbClr val="00B7B5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j-lt"/>
                      <a:ea typeface="ADLaM Display" panose="020F0502020204030204" pitchFamily="2" charset="0"/>
                      <a:cs typeface="ADLaM Display" panose="020F0502020204030204" pitchFamily="2" charset="0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D3-4D8A-9316-D699582BE875}"/>
                </c:ext>
              </c:extLst>
            </c:dLbl>
            <c:dLbl>
              <c:idx val="3"/>
              <c:layout>
                <c:manualLayout>
                  <c:x val="-0.14406876790830947"/>
                  <c:y val="-0.122201905326746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D3-4D8A-9316-D699582BE8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j-lt"/>
                    <a:ea typeface="ADLaM Display" panose="020F0502020204030204" pitchFamily="2" charset="0"/>
                    <a:cs typeface="ADLaM Display" panose="020F0502020204030204" pitchFamily="2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\$#,##0.00</c:formatCode>
                <c:ptCount val="4"/>
                <c:pt idx="0">
                  <c:v>2979.2</c:v>
                </c:pt>
                <c:pt idx="1">
                  <c:v>2059.7142857142858</c:v>
                </c:pt>
                <c:pt idx="2">
                  <c:v>2893.75</c:v>
                </c:pt>
                <c:pt idx="3">
                  <c:v>2473.125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D3-4D8A-9316-D699582BE8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E99"/>
    </a:solidFill>
    <a:ln w="9525" cap="flat" cmpd="sng" algn="ctr">
      <a:solidFill>
        <a:srgbClr val="FFCE99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- After format.xlsx]Sheet2!PivotTable2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Avarage of Category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F513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44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F513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3854166666666664E-2"/>
          <c:y val="0.15830399780351243"/>
          <c:w val="0.94270833333333337"/>
          <c:h val="0.646507094458771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Sheet2!$G$1:$G$2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rgbClr val="5F51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Sheet2!$F$3:$F$7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Sheet2!$G$3:$G$7</c:f>
              <c:numCache>
                <c:formatCode>[&gt;=1000000]0.##,,"M";[&gt;=1000]0.#,"K";0</c:formatCode>
                <c:ptCount val="4"/>
                <c:pt idx="0">
                  <c:v>330</c:v>
                </c:pt>
                <c:pt idx="1">
                  <c:v>567.27272727272725</c:v>
                </c:pt>
                <c:pt idx="2">
                  <c:v>420</c:v>
                </c:pt>
                <c:pt idx="3">
                  <c:v>369.375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7-4716-BD99-972A2BC73E97}"/>
            </c:ext>
          </c:extLst>
        </c:ser>
        <c:ser>
          <c:idx val="1"/>
          <c:order val="1"/>
          <c:tx>
            <c:strRef>
              <c:f>Sheet2!$H$1:$H$2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744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Sheet2!$F$3:$F$7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Sheet2!$H$3:$H$7</c:f>
              <c:numCache>
                <c:formatCode>[&gt;=1000000]0.##,,"M";[&gt;=1000]0.#,"K";0</c:formatCode>
                <c:ptCount val="4"/>
                <c:pt idx="0">
                  <c:v>4895.454545454545</c:v>
                </c:pt>
                <c:pt idx="1">
                  <c:v>2533.3333333333335</c:v>
                </c:pt>
                <c:pt idx="2">
                  <c:v>4764.2857142857147</c:v>
                </c:pt>
                <c:pt idx="3">
                  <c:v>4031.818181818182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87-4716-BD99-972A2BC73E97}"/>
            </c:ext>
          </c:extLst>
        </c:ser>
        <c:ser>
          <c:idx val="2"/>
          <c:order val="2"/>
          <c:tx>
            <c:strRef>
              <c:f>Sheet2!$I$1:$I$2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5F51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Sheet2!$F$3:$F$7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Sheet2!$I$3:$I$7</c:f>
              <c:numCache>
                <c:formatCode>[&gt;=1000000]0.##,,"M";[&gt;=1000]0.#,"K";0</c:formatCode>
                <c:ptCount val="4"/>
                <c:pt idx="0">
                  <c:v>2331.25</c:v>
                </c:pt>
                <c:pt idx="1">
                  <c:v>3375</c:v>
                </c:pt>
                <c:pt idx="2">
                  <c:v>2712.5</c:v>
                </c:pt>
                <c:pt idx="3">
                  <c:v>2410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87-4716-BD99-972A2BC73E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4404936"/>
        <c:axId val="721521448"/>
      </c:barChart>
      <c:catAx>
        <c:axId val="554404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21521448"/>
        <c:crosses val="autoZero"/>
        <c:auto val="1"/>
        <c:lblAlgn val="ctr"/>
        <c:lblOffset val="100"/>
        <c:noMultiLvlLbl val="0"/>
      </c:catAx>
      <c:valAx>
        <c:axId val="721521448"/>
        <c:scaling>
          <c:orientation val="minMax"/>
        </c:scaling>
        <c:delete val="1"/>
        <c:axPos val="l"/>
        <c:numFmt formatCode="[&gt;=1000000]0.##,,&quot;M&quot;;[&gt;=1000]0.#,&quot;K&quot;;0" sourceLinked="1"/>
        <c:majorTickMark val="none"/>
        <c:minorTickMark val="none"/>
        <c:tickLblPos val="nextTo"/>
        <c:crossAx val="55440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907500820209973"/>
          <c:y val="0.81975505241172375"/>
          <c:w val="0.52032734409682468"/>
          <c:h val="0.15171326410285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E99"/>
    </a:solidFill>
    <a:ln w="9525" cap="flat" cmpd="sng" algn="ctr">
      <a:solidFill>
        <a:srgbClr val="FFCE99"/>
      </a:solidFill>
      <a:round/>
    </a:ln>
    <a:effectLst/>
    <a:scene3d>
      <a:camera prst="orthographicFront"/>
      <a:lightRig rig="threePt" dir="t">
        <a:rot lat="0" lon="0" rev="1200000"/>
      </a:lightRig>
    </a:scene3d>
    <a:sp3d>
      <a:bevelT w="63500" h="63500"/>
      <a:bevelB w="0" h="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- After format.xlsx]Sheet2!PivotTable5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tx1"/>
                </a:solidFill>
              </a:rPr>
              <a:t>Sum</a:t>
            </a:r>
            <a:r>
              <a:rPr lang="en-US" b="1" i="1" baseline="0">
                <a:solidFill>
                  <a:schemeClr val="tx1"/>
                </a:solidFill>
              </a:rPr>
              <a:t> of Quantity per Region</a:t>
            </a:r>
            <a:endParaRPr lang="en-US" b="1" i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6582222222222223"/>
          <c:y val="8.77123297273300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562F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5F513B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86490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CC66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914488575905899"/>
          <c:y val="0.26357203956747749"/>
          <c:w val="0.53315890332985483"/>
          <c:h val="0.61977855709212815"/>
        </c:manualLayout>
      </c:layout>
      <c:pieChart>
        <c:varyColors val="1"/>
        <c:ser>
          <c:idx val="0"/>
          <c:order val="0"/>
          <c:tx>
            <c:strRef>
              <c:f>Sheet2!$O$1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62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FA-49AE-BE7C-D4A51BB19349}"/>
              </c:ext>
            </c:extLst>
          </c:dPt>
          <c:dPt>
            <c:idx val="1"/>
            <c:bubble3D val="0"/>
            <c:spPr>
              <a:solidFill>
                <a:srgbClr val="5F513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FA-49AE-BE7C-D4A51BB19349}"/>
              </c:ext>
            </c:extLst>
          </c:dPt>
          <c:dPt>
            <c:idx val="2"/>
            <c:bubble3D val="0"/>
            <c:spPr>
              <a:solidFill>
                <a:srgbClr val="864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FA-49AE-BE7C-D4A51BB19349}"/>
              </c:ext>
            </c:extLst>
          </c:dPt>
          <c:dPt>
            <c:idx val="3"/>
            <c:bubble3D val="0"/>
            <c:spPr>
              <a:solidFill>
                <a:srgbClr val="CC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FA-49AE-BE7C-D4A51BB193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Sheet2!$N$2:$N$6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Sheet2!$O$2:$O$6</c:f>
              <c:numCache>
                <c:formatCode>[&gt;=1000000]0.##,,"M";[&gt;=1000]0.#,"K";0</c:formatCode>
                <c:ptCount val="4"/>
                <c:pt idx="0">
                  <c:v>137</c:v>
                </c:pt>
                <c:pt idx="1">
                  <c:v>200</c:v>
                </c:pt>
                <c:pt idx="2">
                  <c:v>101</c:v>
                </c:pt>
                <c:pt idx="3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FA-49AE-BE7C-D4A51BB193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E99"/>
    </a:solidFill>
    <a:ln w="9525" cap="flat" cmpd="sng" algn="ctr">
      <a:solidFill>
        <a:srgbClr val="FFCE99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- After format.xlsx]Sheet2!PivotTable6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tx1"/>
                </a:solidFill>
              </a:rPr>
              <a:t>Total</a:t>
            </a:r>
            <a:r>
              <a:rPr lang="en-US" b="1" i="1" baseline="0">
                <a:solidFill>
                  <a:schemeClr val="tx1"/>
                </a:solidFill>
              </a:rPr>
              <a:t> sales  per sales rep</a:t>
            </a:r>
            <a:endParaRPr lang="en-US" b="1" i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44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44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Sheet2!$AB$2:$AB$10</c:f>
              <c:strCache>
                <c:ptCount val="8"/>
                <c:pt idx="0">
                  <c:v>Anna Davis</c:v>
                </c:pt>
                <c:pt idx="1">
                  <c:v>David Wilson</c:v>
                </c:pt>
                <c:pt idx="2">
                  <c:v>Emma Taylor</c:v>
                </c:pt>
                <c:pt idx="3">
                  <c:v>John Smith</c:v>
                </c:pt>
                <c:pt idx="4">
                  <c:v>Lisa Garcia</c:v>
                </c:pt>
                <c:pt idx="5">
                  <c:v>Mike Brown</c:v>
                </c:pt>
                <c:pt idx="6">
                  <c:v>Sarah Johnson</c:v>
                </c:pt>
                <c:pt idx="7">
                  <c:v>Tom Anderson</c:v>
                </c:pt>
              </c:strCache>
            </c:strRef>
          </c:cat>
          <c:val>
            <c:numRef>
              <c:f>Sheet2!$AC$2:$AC$10</c:f>
              <c:numCache>
                <c:formatCode>[&gt;=1000000]0.##,,"M";[&gt;=1000]0.#,"K";0</c:formatCode>
                <c:ptCount val="8"/>
                <c:pt idx="0">
                  <c:v>9750</c:v>
                </c:pt>
                <c:pt idx="1">
                  <c:v>20800</c:v>
                </c:pt>
                <c:pt idx="2">
                  <c:v>53680</c:v>
                </c:pt>
                <c:pt idx="3">
                  <c:v>38175</c:v>
                </c:pt>
                <c:pt idx="4">
                  <c:v>34065</c:v>
                </c:pt>
                <c:pt idx="5">
                  <c:v>36550</c:v>
                </c:pt>
                <c:pt idx="6">
                  <c:v>33915</c:v>
                </c:pt>
                <c:pt idx="7">
                  <c:v>25290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8-4EF4-AA70-AD587448E1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9335512"/>
        <c:axId val="639339112"/>
      </c:barChart>
      <c:catAx>
        <c:axId val="639335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39112"/>
        <c:crosses val="autoZero"/>
        <c:auto val="1"/>
        <c:lblAlgn val="ctr"/>
        <c:lblOffset val="100"/>
        <c:noMultiLvlLbl val="0"/>
      </c:catAx>
      <c:valAx>
        <c:axId val="639339112"/>
        <c:scaling>
          <c:orientation val="minMax"/>
        </c:scaling>
        <c:delete val="1"/>
        <c:axPos val="l"/>
        <c:numFmt formatCode="[&gt;=1000000]0.##,,&quot;M&quot;;[&gt;=1000]0.#,&quot;K&quot;;0" sourceLinked="1"/>
        <c:majorTickMark val="none"/>
        <c:minorTickMark val="none"/>
        <c:tickLblPos val="nextTo"/>
        <c:crossAx val="639335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E99"/>
    </a:solidFill>
    <a:ln w="9525" cap="flat" cmpd="sng" algn="ctr">
      <a:solidFill>
        <a:schemeClr val="tx1"/>
      </a:solidFill>
      <a:round/>
    </a:ln>
    <a:effectLst/>
    <a:scene3d>
      <a:camera prst="orthographicFront"/>
      <a:lightRig rig="threePt" dir="t"/>
    </a:scene3d>
    <a:sp3d>
      <a:bevelT w="63500" h="635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- After format.xlsx]Sheet2!PivotTable7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kern="1200" spc="0" baseline="0">
                <a:solidFill>
                  <a:schemeClr val="tx1"/>
                </a:solidFill>
              </a:rPr>
              <a:t>Sum of Q per Date for each sales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62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Sheet2!$AO$1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62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Sheet2!$AM$2:$AN$9</c:f>
              <c:strCache>
                <c:ptCount val="8"/>
                <c:pt idx="0">
                  <c:v>Anna Davis</c:v>
                </c:pt>
                <c:pt idx="1">
                  <c:v>David Wilson</c:v>
                </c:pt>
                <c:pt idx="2">
                  <c:v>Emma Taylor</c:v>
                </c:pt>
                <c:pt idx="3">
                  <c:v>John Smith</c:v>
                </c:pt>
                <c:pt idx="4">
                  <c:v>Lisa Garcia</c:v>
                </c:pt>
                <c:pt idx="5">
                  <c:v>Mike Brown</c:v>
                </c:pt>
                <c:pt idx="6">
                  <c:v>Sarah Johnson</c:v>
                </c:pt>
                <c:pt idx="7">
                  <c:v>Tom Anderson</c:v>
                </c:pt>
              </c:strCache>
            </c:strRef>
          </c:cat>
          <c:val>
            <c:numRef>
              <c:f>Sheet2!$AO$2:$AO$9</c:f>
              <c:numCache>
                <c:formatCode>[&gt;=1000000]0.##,,"M";[&gt;=1000]0.#,"K";0</c:formatCode>
                <c:ptCount val="8"/>
                <c:pt idx="0">
                  <c:v>22</c:v>
                </c:pt>
                <c:pt idx="1">
                  <c:v>31</c:v>
                </c:pt>
                <c:pt idx="2">
                  <c:v>106</c:v>
                </c:pt>
                <c:pt idx="3">
                  <c:v>100</c:v>
                </c:pt>
                <c:pt idx="4">
                  <c:v>55</c:v>
                </c:pt>
                <c:pt idx="5">
                  <c:v>79</c:v>
                </c:pt>
                <c:pt idx="6">
                  <c:v>100</c:v>
                </c:pt>
                <c:pt idx="7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3-49AA-A8A6-7A5361BEB6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7224408"/>
        <c:axId val="517222968"/>
      </c:barChart>
      <c:catAx>
        <c:axId val="517224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22968"/>
        <c:crosses val="autoZero"/>
        <c:auto val="1"/>
        <c:lblAlgn val="ctr"/>
        <c:lblOffset val="100"/>
        <c:noMultiLvlLbl val="0"/>
      </c:catAx>
      <c:valAx>
        <c:axId val="517222968"/>
        <c:scaling>
          <c:orientation val="minMax"/>
        </c:scaling>
        <c:delete val="1"/>
        <c:axPos val="l"/>
        <c:numFmt formatCode="[&gt;=1000000]0.##,,&quot;M&quot;;[&gt;=1000]0.#,&quot;K&quot;;0" sourceLinked="1"/>
        <c:majorTickMark val="none"/>
        <c:minorTickMark val="none"/>
        <c:tickLblPos val="nextTo"/>
        <c:crossAx val="517224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E99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  <a:scene3d>
      <a:camera prst="orthographicFront"/>
      <a:lightRig rig="threePt" dir="t"/>
    </a:scene3d>
    <a:sp3d>
      <a:bevelT w="63500" h="635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- After format.xlsx]Sheet2!PivotTable7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tx1"/>
                </a:solidFill>
              </a:rPr>
              <a:t>Sum</a:t>
            </a:r>
            <a:r>
              <a:rPr lang="en-US" b="1" i="1" baseline="0">
                <a:solidFill>
                  <a:schemeClr val="tx1"/>
                </a:solidFill>
              </a:rPr>
              <a:t> of Q per Date for each sales rep</a:t>
            </a:r>
            <a:endParaRPr lang="en-US" b="1" i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562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Sheet2!$AO$1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562F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Sheet2!$AM$2:$AN$9</c:f>
              <c:strCache>
                <c:ptCount val="8"/>
                <c:pt idx="0">
                  <c:v>Anna Davis</c:v>
                </c:pt>
                <c:pt idx="1">
                  <c:v>David Wilson</c:v>
                </c:pt>
                <c:pt idx="2">
                  <c:v>Emma Taylor</c:v>
                </c:pt>
                <c:pt idx="3">
                  <c:v>John Smith</c:v>
                </c:pt>
                <c:pt idx="4">
                  <c:v>Lisa Garcia</c:v>
                </c:pt>
                <c:pt idx="5">
                  <c:v>Mike Brown</c:v>
                </c:pt>
                <c:pt idx="6">
                  <c:v>Sarah Johnson</c:v>
                </c:pt>
                <c:pt idx="7">
                  <c:v>Tom Anderson</c:v>
                </c:pt>
              </c:strCache>
            </c:strRef>
          </c:cat>
          <c:val>
            <c:numRef>
              <c:f>Sheet2!$AO$2:$AO$9</c:f>
              <c:numCache>
                <c:formatCode>[&gt;=1000000]0.##,,"M";[&gt;=1000]0.#,"K";0</c:formatCode>
                <c:ptCount val="8"/>
                <c:pt idx="0">
                  <c:v>22</c:v>
                </c:pt>
                <c:pt idx="1">
                  <c:v>31</c:v>
                </c:pt>
                <c:pt idx="2">
                  <c:v>106</c:v>
                </c:pt>
                <c:pt idx="3">
                  <c:v>100</c:v>
                </c:pt>
                <c:pt idx="4">
                  <c:v>55</c:v>
                </c:pt>
                <c:pt idx="5">
                  <c:v>79</c:v>
                </c:pt>
                <c:pt idx="6">
                  <c:v>100</c:v>
                </c:pt>
                <c:pt idx="7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E6-4755-9F26-AD9CD6B2146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60513184"/>
        <c:axId val="660513544"/>
      </c:lineChart>
      <c:catAx>
        <c:axId val="66051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rgbClr val="FFCE99"/>
          </a:solidFill>
          <a:ln w="9525" cap="flat" cmpd="sng" algn="ctr">
            <a:solidFill>
              <a:srgbClr val="FFCE9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513544"/>
        <c:crosses val="autoZero"/>
        <c:auto val="1"/>
        <c:lblAlgn val="ctr"/>
        <c:lblOffset val="100"/>
        <c:noMultiLvlLbl val="0"/>
      </c:catAx>
      <c:valAx>
        <c:axId val="660513544"/>
        <c:scaling>
          <c:orientation val="minMax"/>
        </c:scaling>
        <c:delete val="1"/>
        <c:axPos val="l"/>
        <c:numFmt formatCode="[&gt;=1000000]0.##,,&quot;M&quot;;[&gt;=1000]0.#,&quot;K&quot;;0" sourceLinked="1"/>
        <c:majorTickMark val="out"/>
        <c:minorTickMark val="none"/>
        <c:tickLblPos val="nextTo"/>
        <c:crossAx val="66051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E99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  <a:scene3d>
      <a:camera prst="orthographicFront"/>
      <a:lightRig rig="threePt" dir="t"/>
    </a:scene3d>
    <a:sp3d>
      <a:bevelT w="63500" h="63500"/>
      <a:bevelB w="63500" h="635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- After format.xlsx]Sheet2!PivotTable8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Quantity</a:t>
            </a:r>
            <a:r>
              <a:rPr lang="en-US" b="1" baseline="0">
                <a:solidFill>
                  <a:schemeClr val="tx1"/>
                </a:solidFill>
              </a:rPr>
              <a:t>  per category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28162221819143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1413612565445025E-2"/>
              <c:y val="-5.50964187327823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8062827225130892E-2"/>
              <c:y val="-4.95867768595041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70680628272245E-2"/>
              <c:y val="1.380013448732033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905759162303663"/>
                  <c:h val="0.20085898353614889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1413612565445025E-2"/>
              <c:y val="-5.50964187327823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70680628272245E-2"/>
              <c:y val="1.380013448732033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905759162303663"/>
                  <c:h val="0.20085898353614889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8062827225130892E-2"/>
              <c:y val="-4.95867768595041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1413612565445025E-2"/>
              <c:y val="-5.50964187327823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70680628272245E-2"/>
              <c:y val="1.380013448732033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905759162303663"/>
                  <c:h val="0.20085898353614889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8062827225130892E-2"/>
              <c:y val="-4.95867768595041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1413612565445025E-2"/>
              <c:y val="-5.50964187327823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70680628272245E-2"/>
              <c:y val="1.380013448732033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905759162303663"/>
                  <c:h val="0.20085898353614889"/>
                </c:manualLayout>
              </c15:layout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8062827225130892E-2"/>
              <c:y val="-4.95867768595041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56833857185527"/>
              <c:y val="-0.249674728402752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6698985173614215"/>
              <c:y val="8.84283142524800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905759162303663"/>
                  <c:h val="0.20085898353614889"/>
                </c:manualLayout>
              </c15:layout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88494262592682"/>
              <c:y val="-0.187839861948565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Sheet2!$AX$1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18-430F-8847-A8B4490126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18-430F-8847-A8B4490126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18-430F-8847-A8B4490126AA}"/>
              </c:ext>
            </c:extLst>
          </c:dPt>
          <c:dLbls>
            <c:dLbl>
              <c:idx val="0"/>
              <c:layout>
                <c:manualLayout>
                  <c:x val="0.1956833857185527"/>
                  <c:y val="-0.2496747284027522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18-430F-8847-A8B4490126AA}"/>
                </c:ext>
              </c:extLst>
            </c:dLbl>
            <c:dLbl>
              <c:idx val="1"/>
              <c:layout>
                <c:manualLayout>
                  <c:x val="-0.26698985173614215"/>
                  <c:y val="8.84283142524800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905759162303663"/>
                      <c:h val="0.2008589835361488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318-430F-8847-A8B4490126AA}"/>
                </c:ext>
              </c:extLst>
            </c:dLbl>
            <c:dLbl>
              <c:idx val="2"/>
              <c:layout>
                <c:manualLayout>
                  <c:x val="-0.1788494262592682"/>
                  <c:y val="-0.1878398619485653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18-430F-8847-A8B4490126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Sheet2!$AW$2:$AW$4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Sheet2!$AX$2:$AX$4</c:f>
              <c:numCache>
                <c:formatCode>[&gt;=1000000]0.##,,"M";[&gt;=1000]0.#,"K";0</c:formatCode>
                <c:ptCount val="3"/>
                <c:pt idx="0">
                  <c:v>159</c:v>
                </c:pt>
                <c:pt idx="1">
                  <c:v>253</c:v>
                </c:pt>
                <c:pt idx="2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18-430F-8847-A8B4490126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E99"/>
    </a:solidFill>
    <a:ln w="9525" cap="flat" cmpd="sng" algn="ctr">
      <a:solidFill>
        <a:srgbClr val="FFCE99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- After format.xlsx]Sheet2!PivotTable9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>
                <a:solidFill>
                  <a:schemeClr val="tx1"/>
                </a:solidFill>
                <a:effectLst/>
              </a:rPr>
              <a:t>Sales percentage by date</a:t>
            </a:r>
            <a:endParaRPr lang="en-US" i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62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62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Sheet2!$BI$2:$BI$13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Sheet2!$BJ$2:$BJ$13</c:f>
              <c:numCache>
                <c:formatCode>0.00%</c:formatCode>
                <c:ptCount val="12"/>
                <c:pt idx="0">
                  <c:v>6.8292199425116468E-2</c:v>
                </c:pt>
                <c:pt idx="1">
                  <c:v>0.12449202101298444</c:v>
                </c:pt>
                <c:pt idx="2">
                  <c:v>7.0294380017841218E-2</c:v>
                </c:pt>
                <c:pt idx="3">
                  <c:v>0.14550500545148182</c:v>
                </c:pt>
                <c:pt idx="4">
                  <c:v>6.0759242739617407E-2</c:v>
                </c:pt>
                <c:pt idx="5">
                  <c:v>5.146198830409357E-2</c:v>
                </c:pt>
                <c:pt idx="6">
                  <c:v>9.9712558231737539E-2</c:v>
                </c:pt>
                <c:pt idx="7">
                  <c:v>0.10732480919813658</c:v>
                </c:pt>
                <c:pt idx="8">
                  <c:v>7.2058677767865995E-2</c:v>
                </c:pt>
                <c:pt idx="9">
                  <c:v>5.3939934582218255E-2</c:v>
                </c:pt>
                <c:pt idx="10">
                  <c:v>6.4426603231241941E-2</c:v>
                </c:pt>
                <c:pt idx="11">
                  <c:v>8.1732580037664787E-2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5-4D2A-B4AB-9342D942B3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32523808"/>
        <c:axId val="732524168"/>
      </c:barChart>
      <c:catAx>
        <c:axId val="732523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24168"/>
        <c:crosses val="autoZero"/>
        <c:auto val="1"/>
        <c:lblAlgn val="ctr"/>
        <c:lblOffset val="100"/>
        <c:noMultiLvlLbl val="0"/>
      </c:catAx>
      <c:valAx>
        <c:axId val="732524168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73252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E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w="50800" h="63500"/>
      <a:bevelB w="50800" h="508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12699</xdr:colOff>
      <xdr:row>10</xdr:row>
      <xdr:rowOff>0</xdr:rowOff>
    </xdr:from>
    <xdr:to>
      <xdr:col>22</xdr:col>
      <xdr:colOff>539750</xdr:colOff>
      <xdr:row>22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38D57A-9E7D-7B11-1929-0021F0CFE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53</xdr:col>
      <xdr:colOff>102907</xdr:colOff>
      <xdr:row>5</xdr:row>
      <xdr:rowOff>149411</xdr:rowOff>
    </xdr:from>
    <xdr:to>
      <xdr:col>58</xdr:col>
      <xdr:colOff>224118</xdr:colOff>
      <xdr:row>20</xdr:row>
      <xdr:rowOff>41461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D2171B-F320-15A3-9624-4A513E0E6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199463</xdr:colOff>
      <xdr:row>16</xdr:row>
      <xdr:rowOff>118408</xdr:rowOff>
    </xdr:from>
    <xdr:to>
      <xdr:col>75</xdr:col>
      <xdr:colOff>444872</xdr:colOff>
      <xdr:row>31</xdr:row>
      <xdr:rowOff>150157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876F086-D34B-D5E5-64CF-65BC207FF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69850</xdr:colOff>
      <xdr:row>9</xdr:row>
      <xdr:rowOff>31750</xdr:rowOff>
    </xdr:from>
    <xdr:to>
      <xdr:col>2</xdr:col>
      <xdr:colOff>311150</xdr:colOff>
      <xdr:row>22</xdr:row>
      <xdr:rowOff>165100</xdr:rowOff>
    </xdr:to>
    <xdr:sp macro="" textlink="">
      <xdr:nvSpPr>
        <xdr:cNvPr id="6" name="Flowchart: Alternate Process 5">
          <a:extLst>
            <a:ext uri="{FF2B5EF4-FFF2-40B4-BE49-F238E27FC236}">
              <a16:creationId xmlns:a16="http://schemas.microsoft.com/office/drawing/2014/main" id="{345A7E95-AB3A-3922-4DD9-70563F69550C}"/>
            </a:ext>
          </a:extLst>
        </xdr:cNvPr>
        <xdr:cNvSpPr/>
      </xdr:nvSpPr>
      <xdr:spPr>
        <a:xfrm>
          <a:off x="69850" y="1689100"/>
          <a:ext cx="2432050" cy="2527300"/>
        </a:xfrm>
        <a:prstGeom prst="flowChartAlternateProcess">
          <a:avLst/>
        </a:prstGeom>
        <a:solidFill>
          <a:srgbClr val="FFCE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247650</xdr:colOff>
      <xdr:row>10</xdr:row>
      <xdr:rowOff>95250</xdr:rowOff>
    </xdr:from>
    <xdr:to>
      <xdr:col>2</xdr:col>
      <xdr:colOff>120650</xdr:colOff>
      <xdr:row>22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81F666A-872A-4E1E-B671-5E64DA4E9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123629</xdr:colOff>
      <xdr:row>8</xdr:row>
      <xdr:rowOff>81766</xdr:rowOff>
    </xdr:from>
    <xdr:to>
      <xdr:col>9</xdr:col>
      <xdr:colOff>682429</xdr:colOff>
      <xdr:row>22</xdr:row>
      <xdr:rowOff>132566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25DD24C-3FE7-4889-B2E0-A62C1FB01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330200</xdr:colOff>
      <xdr:row>8</xdr:row>
      <xdr:rowOff>12700</xdr:rowOff>
    </xdr:from>
    <xdr:to>
      <xdr:col>17</xdr:col>
      <xdr:colOff>63500</xdr:colOff>
      <xdr:row>20</xdr:row>
      <xdr:rowOff>107950</xdr:rowOff>
    </xdr:to>
    <xdr:sp macro="" textlink="">
      <xdr:nvSpPr>
        <xdr:cNvPr id="13" name="Flowchart: Alternate Process 12">
          <a:extLst>
            <a:ext uri="{FF2B5EF4-FFF2-40B4-BE49-F238E27FC236}">
              <a16:creationId xmlns:a16="http://schemas.microsoft.com/office/drawing/2014/main" id="{920F909F-2346-4BA7-01BB-2A920A88A36C}"/>
            </a:ext>
          </a:extLst>
        </xdr:cNvPr>
        <xdr:cNvSpPr/>
      </xdr:nvSpPr>
      <xdr:spPr>
        <a:xfrm>
          <a:off x="10242550" y="1485900"/>
          <a:ext cx="3429000" cy="2305050"/>
        </a:xfrm>
        <a:prstGeom prst="flowChartAlternateProcess">
          <a:avLst/>
        </a:prstGeom>
        <a:solidFill>
          <a:srgbClr val="FFCE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501650</xdr:colOff>
      <xdr:row>8</xdr:row>
      <xdr:rowOff>152400</xdr:rowOff>
    </xdr:from>
    <xdr:to>
      <xdr:col>16</xdr:col>
      <xdr:colOff>476250</xdr:colOff>
      <xdr:row>19</xdr:row>
      <xdr:rowOff>158750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6A129F4-20C0-4BE4-B940-998C7B8C6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244475</xdr:colOff>
      <xdr:row>10</xdr:row>
      <xdr:rowOff>146050</xdr:rowOff>
    </xdr:from>
    <xdr:to>
      <xdr:col>30</xdr:col>
      <xdr:colOff>495300</xdr:colOff>
      <xdr:row>25</xdr:row>
      <xdr:rowOff>133350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914E2F8-ACB5-B35F-850F-A91CA58CB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784225</xdr:colOff>
      <xdr:row>10</xdr:row>
      <xdr:rowOff>104775</xdr:rowOff>
    </xdr:from>
    <xdr:to>
      <xdr:col>44</xdr:col>
      <xdr:colOff>136525</xdr:colOff>
      <xdr:row>25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76C0EAB-AC45-BC89-7AA9-5FB74371E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724648</xdr:colOff>
      <xdr:row>10</xdr:row>
      <xdr:rowOff>96371</xdr:rowOff>
    </xdr:from>
    <xdr:to>
      <xdr:col>38</xdr:col>
      <xdr:colOff>246531</xdr:colOff>
      <xdr:row>25</xdr:row>
      <xdr:rowOff>38100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671D09B-CC2C-B9A8-A6DF-1B8346905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46</xdr:col>
      <xdr:colOff>313764</xdr:colOff>
      <xdr:row>5</xdr:row>
      <xdr:rowOff>112058</xdr:rowOff>
    </xdr:from>
    <xdr:to>
      <xdr:col>51</xdr:col>
      <xdr:colOff>478117</xdr:colOff>
      <xdr:row>21</xdr:row>
      <xdr:rowOff>37354</xdr:rowOff>
    </xdr:to>
    <xdr:sp macro="" textlink="">
      <xdr:nvSpPr>
        <xdr:cNvPr id="23" name="Flowchart: Alternate Process 22">
          <a:extLst>
            <a:ext uri="{FF2B5EF4-FFF2-40B4-BE49-F238E27FC236}">
              <a16:creationId xmlns:a16="http://schemas.microsoft.com/office/drawing/2014/main" id="{E190EB4B-0B84-63BC-B345-631BB352DD41}"/>
            </a:ext>
          </a:extLst>
        </xdr:cNvPr>
        <xdr:cNvSpPr/>
      </xdr:nvSpPr>
      <xdr:spPr>
        <a:xfrm>
          <a:off x="35657117" y="1045882"/>
          <a:ext cx="3869765" cy="2913531"/>
        </a:xfrm>
        <a:prstGeom prst="flowChartAlternateProcess">
          <a:avLst/>
        </a:prstGeom>
        <a:solidFill>
          <a:srgbClr val="FFCE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552824</xdr:colOff>
      <xdr:row>6</xdr:row>
      <xdr:rowOff>141942</xdr:rowOff>
    </xdr:from>
    <xdr:to>
      <xdr:col>51</xdr:col>
      <xdr:colOff>171823</xdr:colOff>
      <xdr:row>20</xdr:row>
      <xdr:rowOff>7471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5F44B36-4F8B-4CE7-B1BE-A993717BD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59</xdr:col>
      <xdr:colOff>231587</xdr:colOff>
      <xdr:row>13</xdr:row>
      <xdr:rowOff>89647</xdr:rowOff>
    </xdr:from>
    <xdr:to>
      <xdr:col>66</xdr:col>
      <xdr:colOff>104588</xdr:colOff>
      <xdr:row>31</xdr:row>
      <xdr:rowOff>29882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1A3E468-930A-E15A-0E35-7A5E47982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8.668583564817" createdVersion="8" refreshedVersion="8" minRefreshableVersion="3" recordCount="100" xr:uid="{855DD84A-1B66-4D0E-8181-BBAEF260ED22}">
  <cacheSource type="worksheet">
    <worksheetSource ref="A1:I101" sheet="Sheet1"/>
  </cacheSource>
  <cacheFields count="11">
    <cacheField name="Order ID" numFmtId="0">
      <sharedItems/>
    </cacheField>
    <cacheField name="Date" numFmtId="164">
      <sharedItems containsSemiMixedTypes="0" containsNonDate="0" containsDate="1" containsString="0" minDate="2024-01-05T00:00:00" maxDate="2024-12-28T00:00:00" count="86">
        <d v="2024-06-03T00:00:00"/>
        <d v="2024-06-09T00:00:00"/>
        <d v="2024-04-02T00:00:00"/>
        <d v="2024-04-23T00:00:00"/>
        <d v="2024-08-14T00:00:00"/>
        <d v="2024-09-25T00:00:00"/>
        <d v="2024-12-04T00:00:00"/>
        <d v="2024-11-06T00:00:00"/>
        <d v="2024-05-25T00:00:00"/>
        <d v="2024-05-18T00:00:00"/>
        <d v="2024-12-27T00:00:00"/>
        <d v="2024-10-05T00:00:00"/>
        <d v="2024-08-19T00:00:00"/>
        <d v="2024-02-18T00:00:00"/>
        <d v="2024-02-13T00:00:00"/>
        <d v="2024-02-25T00:00:00"/>
        <d v="2024-01-16T00:00:00"/>
        <d v="2024-01-05T00:00:00"/>
        <d v="2024-08-31T00:00:00"/>
        <d v="2024-03-29T00:00:00"/>
        <d v="2024-09-14T00:00:00"/>
        <d v="2024-08-06T00:00:00"/>
        <d v="2024-12-11T00:00:00"/>
        <d v="2024-08-02T00:00:00"/>
        <d v="2024-03-16T00:00:00"/>
        <d v="2024-11-26T00:00:00"/>
        <d v="2024-03-23T00:00:00"/>
        <d v="2024-02-12T00:00:00"/>
        <d v="2024-01-12T00:00:00"/>
        <d v="2024-10-31T00:00:00"/>
        <d v="2024-09-04T00:00:00"/>
        <d v="2024-12-14T00:00:00"/>
        <d v="2024-01-23T00:00:00"/>
        <d v="2024-12-13T00:00:00"/>
        <d v="2024-12-23T00:00:00"/>
        <d v="2024-03-06T00:00:00"/>
        <d v="2024-07-01T00:00:00"/>
        <d v="2024-07-05T00:00:00"/>
        <d v="2024-03-31T00:00:00"/>
        <d v="2024-06-28T00:00:00"/>
        <d v="2024-05-17T00:00:00"/>
        <d v="2024-04-12T00:00:00"/>
        <d v="2024-09-02T00:00:00"/>
        <d v="2024-05-19T00:00:00"/>
        <d v="2024-11-30T00:00:00"/>
        <d v="2024-01-15T00:00:00"/>
        <d v="2024-02-02T00:00:00"/>
        <d v="2024-09-12T00:00:00"/>
        <d v="2024-06-04T00:00:00"/>
        <d v="2024-03-12T00:00:00"/>
        <d v="2024-08-01T00:00:00"/>
        <d v="2024-08-18T00:00:00"/>
        <d v="2024-06-12T00:00:00"/>
        <d v="2024-07-09T00:00:00"/>
        <d v="2024-09-27T00:00:00"/>
        <d v="2024-05-11T00:00:00"/>
        <d v="2024-04-19T00:00:00"/>
        <d v="2024-11-21T00:00:00"/>
        <d v="2024-01-06T00:00:00"/>
        <d v="2024-09-19T00:00:00"/>
        <d v="2024-04-25T00:00:00"/>
        <d v="2024-07-26T00:00:00"/>
        <d v="2024-10-25T00:00:00"/>
        <d v="2024-03-17T00:00:00"/>
        <d v="2024-12-18T00:00:00"/>
        <d v="2024-04-03T00:00:00"/>
        <d v="2024-10-06T00:00:00"/>
        <d v="2024-12-02T00:00:00"/>
        <d v="2024-08-24T00:00:00"/>
        <d v="2024-10-16T00:00:00"/>
        <d v="2024-03-21T00:00:00"/>
        <d v="2024-10-30T00:00:00"/>
        <d v="2024-04-01T00:00:00"/>
        <d v="2024-12-17T00:00:00"/>
        <d v="2024-06-06T00:00:00"/>
        <d v="2024-02-28T00:00:00"/>
        <d v="2024-01-27T00:00:00"/>
        <d v="2024-02-24T00:00:00"/>
        <d v="2024-12-06T00:00:00"/>
        <d v="2024-02-23T00:00:00"/>
        <d v="2024-02-15T00:00:00"/>
        <d v="2024-10-14T00:00:00"/>
        <d v="2024-09-08T00:00:00"/>
        <d v="2024-12-08T00:00:00"/>
        <d v="2024-05-07T00:00:00"/>
        <d v="2024-04-07T00:00:00"/>
      </sharedItems>
      <fieldGroup par="10"/>
    </cacheField>
    <cacheField name="Region" numFmtId="0">
      <sharedItems count="4">
        <s v="South"/>
        <s v="North"/>
        <s v="West"/>
        <s v="East"/>
      </sharedItems>
    </cacheField>
    <cacheField name="Sales Rep" numFmtId="0">
      <sharedItems count="8">
        <s v="Mike Brown"/>
        <s v="Sarah Johnson"/>
        <s v="John Smith"/>
        <s v="Tom Anderson"/>
        <s v="David Wilson"/>
        <s v="Lisa Garcia"/>
        <s v="Anna Davis"/>
        <s v="Emma Taylor"/>
      </sharedItems>
    </cacheField>
    <cacheField name="Product" numFmtId="0">
      <sharedItems count="10">
        <s v="Chair"/>
        <s v="Phone"/>
        <s v="Monitor"/>
        <s v="Headphones"/>
        <s v="Tablet"/>
        <s v="Desk"/>
        <s v="Mouse"/>
        <s v="Laptop"/>
        <s v="Printer"/>
        <s v="Keyboard"/>
      </sharedItems>
    </cacheField>
    <cacheField name="Category" numFmtId="0">
      <sharedItems count="3">
        <s v="Furniture"/>
        <s v="Electronics"/>
        <s v="Accessories"/>
      </sharedItems>
    </cacheField>
    <cacheField name="Quantity" numFmtId="0">
      <sharedItems containsSemiMixedTypes="0" containsString="0" containsNumber="1" containsInteger="1" minValue="1" maxValue="10"/>
    </cacheField>
    <cacheField name="Unit Price" numFmtId="165">
      <sharedItems containsSemiMixedTypes="0" containsString="0" containsNumber="1" containsInteger="1" minValue="45" maxValue="1200"/>
    </cacheField>
    <cacheField name="Total Sales" numFmtId="165">
      <sharedItems containsSemiMixedTypes="0" containsString="0" containsNumber="1" containsInteger="1" minValue="45" maxValue="12000" count="51">
        <n v="1750"/>
        <n v="4000"/>
        <n v="3000"/>
        <n v="1080"/>
        <n v="2250"/>
        <n v="4500"/>
        <n v="240"/>
        <n v="500"/>
        <n v="1200"/>
        <n v="7200"/>
        <n v="45"/>
        <n v="135"/>
        <n v="1500"/>
        <n v="4800"/>
        <n v="180"/>
        <n v="315"/>
        <n v="1350"/>
        <n v="2400"/>
        <n v="225"/>
        <n v="5000"/>
        <n v="8400"/>
        <n v="720"/>
        <n v="480"/>
        <n v="2700"/>
        <n v="450"/>
        <n v="1600"/>
        <n v="2000"/>
        <n v="6000"/>
        <n v="3500"/>
        <n v="405"/>
        <n v="12000"/>
        <n v="270"/>
        <n v="2800"/>
        <n v="3150"/>
        <n v="10800"/>
        <n v="75"/>
        <n v="960"/>
        <n v="600"/>
        <n v="750"/>
        <n v="2450"/>
        <n v="800"/>
        <n v="4050"/>
        <n v="5600"/>
        <n v="3600"/>
        <n v="8000"/>
        <n v="300"/>
        <n v="360"/>
        <n v="120"/>
        <n v="2100"/>
        <n v="1400"/>
        <n v="350"/>
      </sharedItems>
    </cacheField>
    <cacheField name="Days (Date)" numFmtId="0" databaseField="0">
      <fieldGroup base="1">
        <rangePr groupBy="days" startDate="2024-01-05T00:00:00" endDate="2024-12-28T00:00:00"/>
        <groupItems count="368">
          <s v="&lt;1/5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8/2024"/>
        </groupItems>
      </fieldGroup>
    </cacheField>
    <cacheField name="Months (Date)" numFmtId="0" databaseField="0">
      <fieldGroup base="1">
        <rangePr groupBy="months" startDate="2024-01-05T00:00:00" endDate="2024-12-28T00:00:00"/>
        <groupItems count="14">
          <s v="&lt;1/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8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-1000"/>
    <x v="0"/>
    <x v="0"/>
    <x v="0"/>
    <x v="0"/>
    <x v="0"/>
    <n v="5"/>
    <n v="350"/>
    <x v="0"/>
  </r>
  <r>
    <s v="ORD-1001"/>
    <x v="1"/>
    <x v="1"/>
    <x v="1"/>
    <x v="1"/>
    <x v="1"/>
    <n v="5"/>
    <n v="800"/>
    <x v="1"/>
  </r>
  <r>
    <s v="ORD-1002"/>
    <x v="2"/>
    <x v="1"/>
    <x v="1"/>
    <x v="2"/>
    <x v="1"/>
    <n v="10"/>
    <n v="300"/>
    <x v="2"/>
  </r>
  <r>
    <s v="ORD-1003"/>
    <x v="3"/>
    <x v="1"/>
    <x v="2"/>
    <x v="3"/>
    <x v="2"/>
    <n v="9"/>
    <n v="120"/>
    <x v="3"/>
  </r>
  <r>
    <s v="ORD-1004"/>
    <x v="4"/>
    <x v="2"/>
    <x v="3"/>
    <x v="4"/>
    <x v="1"/>
    <n v="5"/>
    <n v="450"/>
    <x v="4"/>
  </r>
  <r>
    <s v="ORD-1005"/>
    <x v="5"/>
    <x v="3"/>
    <x v="4"/>
    <x v="5"/>
    <x v="0"/>
    <n v="9"/>
    <n v="500"/>
    <x v="5"/>
  </r>
  <r>
    <s v="ORD-1006"/>
    <x v="6"/>
    <x v="2"/>
    <x v="5"/>
    <x v="3"/>
    <x v="2"/>
    <n v="2"/>
    <n v="120"/>
    <x v="6"/>
  </r>
  <r>
    <s v="ORD-1007"/>
    <x v="7"/>
    <x v="2"/>
    <x v="3"/>
    <x v="5"/>
    <x v="0"/>
    <n v="1"/>
    <n v="500"/>
    <x v="7"/>
  </r>
  <r>
    <s v="ORD-1008"/>
    <x v="8"/>
    <x v="0"/>
    <x v="0"/>
    <x v="3"/>
    <x v="2"/>
    <n v="10"/>
    <n v="120"/>
    <x v="8"/>
  </r>
  <r>
    <s v="ORD-1009"/>
    <x v="9"/>
    <x v="0"/>
    <x v="0"/>
    <x v="1"/>
    <x v="1"/>
    <n v="9"/>
    <n v="800"/>
    <x v="9"/>
  </r>
  <r>
    <s v="ORD-1010"/>
    <x v="10"/>
    <x v="2"/>
    <x v="3"/>
    <x v="6"/>
    <x v="2"/>
    <n v="1"/>
    <n v="45"/>
    <x v="10"/>
  </r>
  <r>
    <s v="ORD-1011"/>
    <x v="11"/>
    <x v="0"/>
    <x v="6"/>
    <x v="6"/>
    <x v="2"/>
    <n v="3"/>
    <n v="45"/>
    <x v="11"/>
  </r>
  <r>
    <s v="ORD-1012"/>
    <x v="12"/>
    <x v="2"/>
    <x v="5"/>
    <x v="1"/>
    <x v="1"/>
    <n v="9"/>
    <n v="800"/>
    <x v="9"/>
  </r>
  <r>
    <s v="ORD-1013"/>
    <x v="13"/>
    <x v="1"/>
    <x v="2"/>
    <x v="5"/>
    <x v="0"/>
    <n v="3"/>
    <n v="500"/>
    <x v="12"/>
  </r>
  <r>
    <s v="ORD-1014"/>
    <x v="14"/>
    <x v="1"/>
    <x v="1"/>
    <x v="4"/>
    <x v="1"/>
    <n v="5"/>
    <n v="450"/>
    <x v="4"/>
  </r>
  <r>
    <s v="ORD-1015"/>
    <x v="15"/>
    <x v="3"/>
    <x v="7"/>
    <x v="7"/>
    <x v="1"/>
    <n v="4"/>
    <n v="1200"/>
    <x v="13"/>
  </r>
  <r>
    <s v="ORD-1016"/>
    <x v="16"/>
    <x v="1"/>
    <x v="2"/>
    <x v="8"/>
    <x v="1"/>
    <n v="2"/>
    <n v="250"/>
    <x v="7"/>
  </r>
  <r>
    <s v="ORD-1017"/>
    <x v="17"/>
    <x v="1"/>
    <x v="2"/>
    <x v="6"/>
    <x v="2"/>
    <n v="4"/>
    <n v="45"/>
    <x v="14"/>
  </r>
  <r>
    <s v="ORD-1018"/>
    <x v="18"/>
    <x v="1"/>
    <x v="2"/>
    <x v="6"/>
    <x v="2"/>
    <n v="7"/>
    <n v="45"/>
    <x v="15"/>
  </r>
  <r>
    <s v="ORD-1019"/>
    <x v="19"/>
    <x v="2"/>
    <x v="5"/>
    <x v="4"/>
    <x v="1"/>
    <n v="3"/>
    <n v="450"/>
    <x v="16"/>
  </r>
  <r>
    <s v="ORD-1020"/>
    <x v="20"/>
    <x v="0"/>
    <x v="0"/>
    <x v="1"/>
    <x v="1"/>
    <n v="3"/>
    <n v="800"/>
    <x v="17"/>
  </r>
  <r>
    <s v="ORD-1021"/>
    <x v="21"/>
    <x v="3"/>
    <x v="7"/>
    <x v="6"/>
    <x v="2"/>
    <n v="5"/>
    <n v="45"/>
    <x v="18"/>
  </r>
  <r>
    <s v="ORD-1022"/>
    <x v="22"/>
    <x v="1"/>
    <x v="1"/>
    <x v="5"/>
    <x v="0"/>
    <n v="10"/>
    <n v="500"/>
    <x v="19"/>
  </r>
  <r>
    <s v="ORD-1023"/>
    <x v="23"/>
    <x v="3"/>
    <x v="7"/>
    <x v="7"/>
    <x v="1"/>
    <n v="7"/>
    <n v="1200"/>
    <x v="20"/>
  </r>
  <r>
    <s v="ORD-1024"/>
    <x v="24"/>
    <x v="3"/>
    <x v="7"/>
    <x v="4"/>
    <x v="1"/>
    <n v="10"/>
    <n v="450"/>
    <x v="5"/>
  </r>
  <r>
    <s v="ORD-1025"/>
    <x v="25"/>
    <x v="3"/>
    <x v="4"/>
    <x v="7"/>
    <x v="1"/>
    <n v="6"/>
    <n v="1200"/>
    <x v="9"/>
  </r>
  <r>
    <s v="ORD-1026"/>
    <x v="12"/>
    <x v="1"/>
    <x v="1"/>
    <x v="3"/>
    <x v="2"/>
    <n v="6"/>
    <n v="120"/>
    <x v="21"/>
  </r>
  <r>
    <s v="ORD-1027"/>
    <x v="26"/>
    <x v="1"/>
    <x v="1"/>
    <x v="3"/>
    <x v="2"/>
    <n v="4"/>
    <n v="120"/>
    <x v="22"/>
  </r>
  <r>
    <s v="ORD-1028"/>
    <x v="27"/>
    <x v="1"/>
    <x v="2"/>
    <x v="1"/>
    <x v="1"/>
    <n v="5"/>
    <n v="800"/>
    <x v="1"/>
  </r>
  <r>
    <s v="ORD-1029"/>
    <x v="14"/>
    <x v="2"/>
    <x v="3"/>
    <x v="4"/>
    <x v="1"/>
    <n v="6"/>
    <n v="450"/>
    <x v="23"/>
  </r>
  <r>
    <s v="ORD-1030"/>
    <x v="28"/>
    <x v="1"/>
    <x v="2"/>
    <x v="6"/>
    <x v="2"/>
    <n v="10"/>
    <n v="45"/>
    <x v="24"/>
  </r>
  <r>
    <s v="ORD-1031"/>
    <x v="29"/>
    <x v="1"/>
    <x v="1"/>
    <x v="1"/>
    <x v="1"/>
    <n v="2"/>
    <n v="800"/>
    <x v="25"/>
  </r>
  <r>
    <s v="ORD-1032"/>
    <x v="30"/>
    <x v="0"/>
    <x v="0"/>
    <x v="8"/>
    <x v="1"/>
    <n v="8"/>
    <n v="250"/>
    <x v="26"/>
  </r>
  <r>
    <s v="ORD-1033"/>
    <x v="31"/>
    <x v="3"/>
    <x v="7"/>
    <x v="7"/>
    <x v="1"/>
    <n v="5"/>
    <n v="1200"/>
    <x v="27"/>
  </r>
  <r>
    <s v="ORD-1034"/>
    <x v="32"/>
    <x v="0"/>
    <x v="0"/>
    <x v="0"/>
    <x v="0"/>
    <n v="10"/>
    <n v="350"/>
    <x v="28"/>
  </r>
  <r>
    <s v="ORD-1035"/>
    <x v="33"/>
    <x v="1"/>
    <x v="1"/>
    <x v="6"/>
    <x v="2"/>
    <n v="9"/>
    <n v="45"/>
    <x v="29"/>
  </r>
  <r>
    <s v="ORD-1036"/>
    <x v="34"/>
    <x v="2"/>
    <x v="3"/>
    <x v="6"/>
    <x v="2"/>
    <n v="7"/>
    <n v="45"/>
    <x v="15"/>
  </r>
  <r>
    <s v="ORD-1037"/>
    <x v="35"/>
    <x v="3"/>
    <x v="7"/>
    <x v="0"/>
    <x v="0"/>
    <n v="5"/>
    <n v="350"/>
    <x v="0"/>
  </r>
  <r>
    <s v="ORD-1038"/>
    <x v="36"/>
    <x v="0"/>
    <x v="0"/>
    <x v="7"/>
    <x v="1"/>
    <n v="10"/>
    <n v="1200"/>
    <x v="30"/>
  </r>
  <r>
    <s v="ORD-1039"/>
    <x v="37"/>
    <x v="0"/>
    <x v="6"/>
    <x v="7"/>
    <x v="1"/>
    <n v="6"/>
    <n v="1200"/>
    <x v="9"/>
  </r>
  <r>
    <s v="ORD-1040"/>
    <x v="38"/>
    <x v="2"/>
    <x v="5"/>
    <x v="4"/>
    <x v="1"/>
    <n v="5"/>
    <n v="450"/>
    <x v="4"/>
  </r>
  <r>
    <s v="ORD-1041"/>
    <x v="39"/>
    <x v="1"/>
    <x v="2"/>
    <x v="1"/>
    <x v="1"/>
    <n v="5"/>
    <n v="800"/>
    <x v="1"/>
  </r>
  <r>
    <s v="ORD-1042"/>
    <x v="40"/>
    <x v="3"/>
    <x v="7"/>
    <x v="9"/>
    <x v="2"/>
    <n v="3"/>
    <n v="75"/>
    <x v="18"/>
  </r>
  <r>
    <s v="ORD-1043"/>
    <x v="41"/>
    <x v="0"/>
    <x v="6"/>
    <x v="6"/>
    <x v="2"/>
    <n v="6"/>
    <n v="45"/>
    <x v="31"/>
  </r>
  <r>
    <s v="ORD-1044"/>
    <x v="42"/>
    <x v="2"/>
    <x v="3"/>
    <x v="0"/>
    <x v="0"/>
    <n v="8"/>
    <n v="350"/>
    <x v="32"/>
  </r>
  <r>
    <s v="ORD-1045"/>
    <x v="26"/>
    <x v="3"/>
    <x v="7"/>
    <x v="5"/>
    <x v="0"/>
    <n v="4"/>
    <n v="500"/>
    <x v="26"/>
  </r>
  <r>
    <s v="ORD-1046"/>
    <x v="43"/>
    <x v="2"/>
    <x v="3"/>
    <x v="7"/>
    <x v="1"/>
    <n v="2"/>
    <n v="1200"/>
    <x v="17"/>
  </r>
  <r>
    <s v="ORD-1047"/>
    <x v="44"/>
    <x v="1"/>
    <x v="2"/>
    <x v="4"/>
    <x v="1"/>
    <n v="7"/>
    <n v="450"/>
    <x v="33"/>
  </r>
  <r>
    <s v="ORD-1048"/>
    <x v="45"/>
    <x v="2"/>
    <x v="5"/>
    <x v="7"/>
    <x v="1"/>
    <n v="9"/>
    <n v="1200"/>
    <x v="34"/>
  </r>
  <r>
    <s v="ORD-1049"/>
    <x v="46"/>
    <x v="1"/>
    <x v="2"/>
    <x v="7"/>
    <x v="1"/>
    <n v="4"/>
    <n v="1200"/>
    <x v="13"/>
  </r>
  <r>
    <s v="ORD-1050"/>
    <x v="47"/>
    <x v="3"/>
    <x v="7"/>
    <x v="9"/>
    <x v="2"/>
    <n v="1"/>
    <n v="75"/>
    <x v="35"/>
  </r>
  <r>
    <s v="ORD-1051"/>
    <x v="31"/>
    <x v="1"/>
    <x v="1"/>
    <x v="3"/>
    <x v="2"/>
    <n v="8"/>
    <n v="120"/>
    <x v="36"/>
  </r>
  <r>
    <s v="ORD-1052"/>
    <x v="48"/>
    <x v="3"/>
    <x v="4"/>
    <x v="2"/>
    <x v="1"/>
    <n v="2"/>
    <n v="300"/>
    <x v="37"/>
  </r>
  <r>
    <s v="ORD-1053"/>
    <x v="49"/>
    <x v="0"/>
    <x v="0"/>
    <x v="9"/>
    <x v="2"/>
    <n v="6"/>
    <n v="75"/>
    <x v="24"/>
  </r>
  <r>
    <s v="ORD-1054"/>
    <x v="5"/>
    <x v="3"/>
    <x v="7"/>
    <x v="3"/>
    <x v="2"/>
    <n v="10"/>
    <n v="120"/>
    <x v="8"/>
  </r>
  <r>
    <s v="ORD-1055"/>
    <x v="50"/>
    <x v="1"/>
    <x v="2"/>
    <x v="1"/>
    <x v="1"/>
    <n v="6"/>
    <n v="800"/>
    <x v="13"/>
  </r>
  <r>
    <s v="ORD-1056"/>
    <x v="51"/>
    <x v="2"/>
    <x v="3"/>
    <x v="0"/>
    <x v="0"/>
    <n v="8"/>
    <n v="350"/>
    <x v="32"/>
  </r>
  <r>
    <s v="ORD-1057"/>
    <x v="52"/>
    <x v="1"/>
    <x v="1"/>
    <x v="9"/>
    <x v="2"/>
    <n v="10"/>
    <n v="75"/>
    <x v="38"/>
  </r>
  <r>
    <s v="ORD-1058"/>
    <x v="53"/>
    <x v="2"/>
    <x v="5"/>
    <x v="0"/>
    <x v="0"/>
    <n v="7"/>
    <n v="350"/>
    <x v="39"/>
  </r>
  <r>
    <s v="ORD-1059"/>
    <x v="27"/>
    <x v="2"/>
    <x v="5"/>
    <x v="9"/>
    <x v="2"/>
    <n v="1"/>
    <n v="75"/>
    <x v="35"/>
  </r>
  <r>
    <s v="ORD-1060"/>
    <x v="54"/>
    <x v="1"/>
    <x v="2"/>
    <x v="0"/>
    <x v="0"/>
    <n v="10"/>
    <n v="350"/>
    <x v="28"/>
  </r>
  <r>
    <s v="ORD-1061"/>
    <x v="52"/>
    <x v="1"/>
    <x v="1"/>
    <x v="8"/>
    <x v="1"/>
    <n v="2"/>
    <n v="250"/>
    <x v="7"/>
  </r>
  <r>
    <s v="ORD-1062"/>
    <x v="55"/>
    <x v="1"/>
    <x v="1"/>
    <x v="1"/>
    <x v="1"/>
    <n v="1"/>
    <n v="800"/>
    <x v="40"/>
  </r>
  <r>
    <s v="ORD-1063"/>
    <x v="39"/>
    <x v="1"/>
    <x v="2"/>
    <x v="2"/>
    <x v="1"/>
    <n v="2"/>
    <n v="300"/>
    <x v="37"/>
  </r>
  <r>
    <s v="ORD-1064"/>
    <x v="56"/>
    <x v="3"/>
    <x v="4"/>
    <x v="4"/>
    <x v="1"/>
    <n v="9"/>
    <n v="450"/>
    <x v="41"/>
  </r>
  <r>
    <s v="ORD-1065"/>
    <x v="57"/>
    <x v="1"/>
    <x v="2"/>
    <x v="7"/>
    <x v="1"/>
    <n v="4"/>
    <n v="1200"/>
    <x v="13"/>
  </r>
  <r>
    <s v="ORD-1066"/>
    <x v="58"/>
    <x v="0"/>
    <x v="6"/>
    <x v="6"/>
    <x v="2"/>
    <n v="1"/>
    <n v="45"/>
    <x v="10"/>
  </r>
  <r>
    <s v="ORD-1067"/>
    <x v="59"/>
    <x v="1"/>
    <x v="2"/>
    <x v="8"/>
    <x v="1"/>
    <n v="2"/>
    <n v="250"/>
    <x v="7"/>
  </r>
  <r>
    <s v="ORD-1068"/>
    <x v="15"/>
    <x v="3"/>
    <x v="7"/>
    <x v="2"/>
    <x v="1"/>
    <n v="9"/>
    <n v="300"/>
    <x v="23"/>
  </r>
  <r>
    <s v="ORD-1069"/>
    <x v="10"/>
    <x v="1"/>
    <x v="1"/>
    <x v="5"/>
    <x v="0"/>
    <n v="9"/>
    <n v="500"/>
    <x v="5"/>
  </r>
  <r>
    <s v="ORD-1070"/>
    <x v="60"/>
    <x v="2"/>
    <x v="5"/>
    <x v="1"/>
    <x v="1"/>
    <n v="7"/>
    <n v="800"/>
    <x v="42"/>
  </r>
  <r>
    <s v="ORD-1071"/>
    <x v="61"/>
    <x v="2"/>
    <x v="5"/>
    <x v="0"/>
    <x v="0"/>
    <n v="10"/>
    <n v="350"/>
    <x v="28"/>
  </r>
  <r>
    <s v="ORD-1072"/>
    <x v="62"/>
    <x v="0"/>
    <x v="0"/>
    <x v="1"/>
    <x v="1"/>
    <n v="1"/>
    <n v="800"/>
    <x v="40"/>
  </r>
  <r>
    <s v="ORD-1073"/>
    <x v="41"/>
    <x v="3"/>
    <x v="7"/>
    <x v="5"/>
    <x v="0"/>
    <n v="10"/>
    <n v="500"/>
    <x v="19"/>
  </r>
  <r>
    <s v="ORD-1074"/>
    <x v="0"/>
    <x v="1"/>
    <x v="2"/>
    <x v="9"/>
    <x v="2"/>
    <n v="8"/>
    <n v="75"/>
    <x v="37"/>
  </r>
  <r>
    <s v="ORD-1075"/>
    <x v="63"/>
    <x v="2"/>
    <x v="3"/>
    <x v="4"/>
    <x v="1"/>
    <n v="8"/>
    <n v="450"/>
    <x v="43"/>
  </r>
  <r>
    <s v="ORD-1076"/>
    <x v="64"/>
    <x v="2"/>
    <x v="5"/>
    <x v="2"/>
    <x v="1"/>
    <n v="2"/>
    <n v="300"/>
    <x v="37"/>
  </r>
  <r>
    <s v="ORD-1077"/>
    <x v="65"/>
    <x v="3"/>
    <x v="7"/>
    <x v="1"/>
    <x v="1"/>
    <n v="10"/>
    <n v="800"/>
    <x v="44"/>
  </r>
  <r>
    <s v="ORD-1078"/>
    <x v="66"/>
    <x v="3"/>
    <x v="4"/>
    <x v="7"/>
    <x v="1"/>
    <n v="3"/>
    <n v="1200"/>
    <x v="43"/>
  </r>
  <r>
    <s v="ORD-1079"/>
    <x v="67"/>
    <x v="1"/>
    <x v="2"/>
    <x v="9"/>
    <x v="2"/>
    <n v="4"/>
    <n v="75"/>
    <x v="45"/>
  </r>
  <r>
    <s v="ORD-1080"/>
    <x v="68"/>
    <x v="2"/>
    <x v="3"/>
    <x v="3"/>
    <x v="2"/>
    <n v="3"/>
    <n v="120"/>
    <x v="46"/>
  </r>
  <r>
    <s v="ORD-1081"/>
    <x v="69"/>
    <x v="2"/>
    <x v="3"/>
    <x v="1"/>
    <x v="1"/>
    <n v="7"/>
    <n v="800"/>
    <x v="42"/>
  </r>
  <r>
    <s v="ORD-1082"/>
    <x v="70"/>
    <x v="1"/>
    <x v="1"/>
    <x v="4"/>
    <x v="1"/>
    <n v="3"/>
    <n v="450"/>
    <x v="16"/>
  </r>
  <r>
    <s v="ORD-1083"/>
    <x v="71"/>
    <x v="2"/>
    <x v="3"/>
    <x v="3"/>
    <x v="2"/>
    <n v="1"/>
    <n v="120"/>
    <x v="47"/>
  </r>
  <r>
    <s v="ORD-1084"/>
    <x v="72"/>
    <x v="0"/>
    <x v="6"/>
    <x v="0"/>
    <x v="0"/>
    <n v="6"/>
    <n v="350"/>
    <x v="48"/>
  </r>
  <r>
    <s v="ORD-1085"/>
    <x v="73"/>
    <x v="3"/>
    <x v="7"/>
    <x v="0"/>
    <x v="0"/>
    <n v="4"/>
    <n v="350"/>
    <x v="49"/>
  </r>
  <r>
    <s v="ORD-1086"/>
    <x v="60"/>
    <x v="1"/>
    <x v="1"/>
    <x v="4"/>
    <x v="1"/>
    <n v="8"/>
    <n v="450"/>
    <x v="43"/>
  </r>
  <r>
    <s v="ORD-1087"/>
    <x v="7"/>
    <x v="2"/>
    <x v="3"/>
    <x v="3"/>
    <x v="2"/>
    <n v="5"/>
    <n v="120"/>
    <x v="37"/>
  </r>
  <r>
    <s v="ORD-1088"/>
    <x v="74"/>
    <x v="3"/>
    <x v="7"/>
    <x v="6"/>
    <x v="2"/>
    <n v="4"/>
    <n v="45"/>
    <x v="14"/>
  </r>
  <r>
    <s v="ORD-1089"/>
    <x v="75"/>
    <x v="1"/>
    <x v="2"/>
    <x v="4"/>
    <x v="1"/>
    <n v="3"/>
    <n v="450"/>
    <x v="16"/>
  </r>
  <r>
    <s v="ORD-1090"/>
    <x v="76"/>
    <x v="0"/>
    <x v="0"/>
    <x v="8"/>
    <x v="1"/>
    <n v="7"/>
    <n v="250"/>
    <x v="0"/>
  </r>
  <r>
    <s v="ORD-1091"/>
    <x v="77"/>
    <x v="3"/>
    <x v="7"/>
    <x v="0"/>
    <x v="0"/>
    <n v="9"/>
    <n v="350"/>
    <x v="33"/>
  </r>
  <r>
    <s v="ORD-1092"/>
    <x v="78"/>
    <x v="3"/>
    <x v="4"/>
    <x v="0"/>
    <x v="0"/>
    <n v="1"/>
    <n v="350"/>
    <x v="50"/>
  </r>
  <r>
    <s v="ORD-1093"/>
    <x v="79"/>
    <x v="3"/>
    <x v="7"/>
    <x v="9"/>
    <x v="2"/>
    <n v="1"/>
    <n v="75"/>
    <x v="35"/>
  </r>
  <r>
    <s v="ORD-1094"/>
    <x v="80"/>
    <x v="3"/>
    <x v="7"/>
    <x v="1"/>
    <x v="1"/>
    <n v="5"/>
    <n v="800"/>
    <x v="1"/>
  </r>
  <r>
    <s v="ORD-1095"/>
    <x v="81"/>
    <x v="1"/>
    <x v="2"/>
    <x v="0"/>
    <x v="0"/>
    <n v="5"/>
    <n v="350"/>
    <x v="0"/>
  </r>
  <r>
    <s v="ORD-1096"/>
    <x v="82"/>
    <x v="2"/>
    <x v="3"/>
    <x v="3"/>
    <x v="2"/>
    <n v="10"/>
    <n v="120"/>
    <x v="8"/>
  </r>
  <r>
    <s v="ORD-1097"/>
    <x v="83"/>
    <x v="3"/>
    <x v="4"/>
    <x v="5"/>
    <x v="0"/>
    <n v="1"/>
    <n v="500"/>
    <x v="7"/>
  </r>
  <r>
    <s v="ORD-1098"/>
    <x v="84"/>
    <x v="0"/>
    <x v="0"/>
    <x v="0"/>
    <x v="0"/>
    <n v="10"/>
    <n v="350"/>
    <x v="28"/>
  </r>
  <r>
    <s v="ORD-1099"/>
    <x v="85"/>
    <x v="1"/>
    <x v="1"/>
    <x v="5"/>
    <x v="0"/>
    <n v="8"/>
    <n v="5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95481-45F6-4363-8B3C-E8A9294A9ABA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1">
  <location ref="AW1:AX4" firstHeaderRow="1" firstDataRow="1" firstDataCol="1"/>
  <pivotFields count="11">
    <pivotField showAll="0"/>
    <pivotField numFmtId="164" showAll="0">
      <items count="87">
        <item x="17"/>
        <item x="58"/>
        <item x="28"/>
        <item x="45"/>
        <item x="16"/>
        <item x="32"/>
        <item x="76"/>
        <item x="46"/>
        <item x="27"/>
        <item x="14"/>
        <item x="80"/>
        <item x="13"/>
        <item x="79"/>
        <item x="77"/>
        <item x="15"/>
        <item x="75"/>
        <item x="35"/>
        <item x="49"/>
        <item x="24"/>
        <item x="63"/>
        <item x="70"/>
        <item x="26"/>
        <item x="19"/>
        <item x="38"/>
        <item x="72"/>
        <item x="2"/>
        <item x="65"/>
        <item x="85"/>
        <item x="41"/>
        <item x="56"/>
        <item x="3"/>
        <item x="60"/>
        <item x="84"/>
        <item x="55"/>
        <item x="40"/>
        <item x="9"/>
        <item x="43"/>
        <item x="8"/>
        <item x="0"/>
        <item x="48"/>
        <item x="74"/>
        <item x="1"/>
        <item x="52"/>
        <item x="39"/>
        <item x="36"/>
        <item x="37"/>
        <item x="53"/>
        <item x="61"/>
        <item x="50"/>
        <item x="23"/>
        <item x="21"/>
        <item x="4"/>
        <item x="51"/>
        <item x="12"/>
        <item x="68"/>
        <item x="18"/>
        <item x="42"/>
        <item x="30"/>
        <item x="82"/>
        <item x="47"/>
        <item x="20"/>
        <item x="59"/>
        <item x="5"/>
        <item x="54"/>
        <item x="11"/>
        <item x="66"/>
        <item x="81"/>
        <item x="69"/>
        <item x="62"/>
        <item x="71"/>
        <item x="29"/>
        <item x="7"/>
        <item x="57"/>
        <item x="25"/>
        <item x="44"/>
        <item x="67"/>
        <item x="6"/>
        <item x="78"/>
        <item x="83"/>
        <item x="22"/>
        <item x="33"/>
        <item x="31"/>
        <item x="73"/>
        <item x="64"/>
        <item x="34"/>
        <item x="1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axis="axisRow" showAll="0">
      <items count="11">
        <item x="0"/>
        <item x="5"/>
        <item x="3"/>
        <item x="9"/>
        <item x="7"/>
        <item x="2"/>
        <item x="6"/>
        <item x="1"/>
        <item x="8"/>
        <item x="4"/>
        <item t="default"/>
      </items>
    </pivotField>
    <pivotField axis="axisRow" showAll="0">
      <items count="4">
        <item sd="0" x="2"/>
        <item sd="0" x="1"/>
        <item sd="0" x="0"/>
        <item t="default" sd="0"/>
      </items>
    </pivotField>
    <pivotField dataField="1" showAll="0"/>
    <pivotField numFmtId="165" showAll="0"/>
    <pivotField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5"/>
    <field x="4"/>
  </rowFields>
  <rowItems count="3">
    <i>
      <x/>
    </i>
    <i>
      <x v="1"/>
    </i>
    <i>
      <x v="2"/>
    </i>
  </rowItems>
  <colItems count="1">
    <i/>
  </colItems>
  <dataFields count="1">
    <dataField name="Sum of Quantity" fld="6" baseField="0" baseItem="0"/>
  </dataFields>
  <formats count="11">
    <format dxfId="10">
      <pivotArea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5" type="button" dataOnly="0" labelOnly="1" outline="0" axis="axisRow" fieldPosition="0"/>
    </format>
    <format dxfId="6">
      <pivotArea dataOnly="0" labelOnly="1" fieldPosition="0">
        <references count="1">
          <reference field="5" count="0"/>
        </references>
      </pivotArea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5" type="button" dataOnly="0" labelOnly="1" outline="0" axis="axisRow" fieldPosition="0"/>
    </format>
    <format dxfId="1">
      <pivotArea dataOnly="0" labelOnly="1" fieldPosition="0">
        <references count="1">
          <reference field="5" count="0"/>
        </references>
      </pivotArea>
    </format>
    <format dxfId="0">
      <pivotArea dataOnly="0" labelOnly="1" outline="0" axis="axisValues" fieldPosition="0"/>
    </format>
  </format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9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9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044F1-A676-426F-827D-B22D945367D8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6">
  <location ref="T1:V9" firstHeaderRow="1" firstDataRow="1" firstDataCol="2"/>
  <pivotFields count="11">
    <pivotField compact="0" outline="0" showAll="0"/>
    <pivotField compact="0" numFmtId="164" outline="0" showAll="0">
      <items count="87">
        <item x="17"/>
        <item x="58"/>
        <item x="28"/>
        <item x="45"/>
        <item x="16"/>
        <item x="32"/>
        <item x="76"/>
        <item x="46"/>
        <item x="27"/>
        <item x="14"/>
        <item x="80"/>
        <item x="13"/>
        <item x="79"/>
        <item x="77"/>
        <item x="15"/>
        <item x="75"/>
        <item x="35"/>
        <item x="49"/>
        <item x="24"/>
        <item x="63"/>
        <item x="70"/>
        <item x="26"/>
        <item x="19"/>
        <item x="38"/>
        <item x="72"/>
        <item x="2"/>
        <item x="65"/>
        <item x="85"/>
        <item x="41"/>
        <item x="56"/>
        <item x="3"/>
        <item x="60"/>
        <item x="84"/>
        <item x="55"/>
        <item x="40"/>
        <item x="9"/>
        <item x="43"/>
        <item x="8"/>
        <item x="0"/>
        <item x="48"/>
        <item x="74"/>
        <item x="1"/>
        <item x="52"/>
        <item x="39"/>
        <item x="36"/>
        <item x="37"/>
        <item x="53"/>
        <item x="61"/>
        <item x="50"/>
        <item x="23"/>
        <item x="21"/>
        <item x="4"/>
        <item x="51"/>
        <item x="12"/>
        <item x="68"/>
        <item x="18"/>
        <item x="42"/>
        <item x="30"/>
        <item x="82"/>
        <item x="47"/>
        <item x="20"/>
        <item x="59"/>
        <item x="5"/>
        <item x="54"/>
        <item x="11"/>
        <item x="66"/>
        <item x="81"/>
        <item x="69"/>
        <item x="62"/>
        <item x="71"/>
        <item x="29"/>
        <item x="7"/>
        <item x="57"/>
        <item x="25"/>
        <item x="44"/>
        <item x="67"/>
        <item x="6"/>
        <item x="78"/>
        <item x="83"/>
        <item x="22"/>
        <item x="33"/>
        <item x="31"/>
        <item x="73"/>
        <item x="64"/>
        <item x="34"/>
        <item x="10"/>
        <item t="default"/>
      </items>
    </pivotField>
    <pivotField compact="0" outline="0" showAll="0">
      <items count="5">
        <item x="3"/>
        <item x="1"/>
        <item x="0"/>
        <item x="2"/>
        <item t="default"/>
      </items>
    </pivotField>
    <pivotField axis="axisRow" compact="0" outline="0" showAll="0">
      <items count="9">
        <item sd="0" x="6"/>
        <item sd="0" x="4"/>
        <item sd="0" x="7"/>
        <item sd="0" x="2"/>
        <item sd="0" x="5"/>
        <item sd="0" x="0"/>
        <item sd="0" x="1"/>
        <item sd="0" x="3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numFmtId="165" outline="0" showAll="0"/>
    <pivotField compact="0" numFmtId="165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Quantity" fld="6" baseField="0" baseItem="0"/>
  </dataFields>
  <formats count="13">
    <format dxfId="23">
      <pivotArea outline="0" collapsedLevelsAreSubtotals="1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3" type="button" dataOnly="0" labelOnly="1" outline="0" axis="axisRow" fieldPosition="0"/>
    </format>
    <format dxfId="19">
      <pivotArea field="5" type="button" dataOnly="0" labelOnly="1" outline="0" axis="axisRow" fieldPosition="1"/>
    </format>
    <format dxfId="18">
      <pivotArea dataOnly="0" labelOnly="1" outline="0" fieldPosition="0">
        <references count="1">
          <reference field="3" count="0"/>
        </references>
      </pivotArea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3" type="button" dataOnly="0" labelOnly="1" outline="0" axis="axisRow" fieldPosition="0"/>
    </format>
    <format dxfId="13">
      <pivotArea field="5" type="button" dataOnly="0" labelOnly="1" outline="0" axis="axisRow" fieldPosition="1"/>
    </format>
    <format dxfId="12">
      <pivotArea dataOnly="0" labelOnly="1" outline="0" fieldPosition="0">
        <references count="1">
          <reference field="3" count="0"/>
        </references>
      </pivotArea>
    </format>
    <format dxfId="11">
      <pivotArea dataOnly="0" labelOnly="1" outline="0" axis="axisValues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19443-5933-43D2-9BD7-8F1431F74EB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1:J7" firstHeaderRow="1" firstDataRow="2" firstDataCol="1"/>
  <pivotFields count="11">
    <pivotField showAll="0"/>
    <pivotField numFmtId="164" showAll="0">
      <items count="87">
        <item x="17"/>
        <item x="58"/>
        <item x="28"/>
        <item x="45"/>
        <item x="16"/>
        <item x="32"/>
        <item x="76"/>
        <item x="46"/>
        <item x="27"/>
        <item x="14"/>
        <item x="80"/>
        <item x="13"/>
        <item x="79"/>
        <item x="77"/>
        <item x="15"/>
        <item x="75"/>
        <item x="35"/>
        <item x="49"/>
        <item x="24"/>
        <item x="63"/>
        <item x="70"/>
        <item x="26"/>
        <item x="19"/>
        <item x="38"/>
        <item x="72"/>
        <item x="2"/>
        <item x="65"/>
        <item x="85"/>
        <item x="41"/>
        <item x="56"/>
        <item x="3"/>
        <item x="60"/>
        <item x="84"/>
        <item x="55"/>
        <item x="40"/>
        <item x="9"/>
        <item x="43"/>
        <item x="8"/>
        <item x="0"/>
        <item x="48"/>
        <item x="74"/>
        <item x="1"/>
        <item x="52"/>
        <item x="39"/>
        <item x="36"/>
        <item x="37"/>
        <item x="53"/>
        <item x="61"/>
        <item x="50"/>
        <item x="23"/>
        <item x="21"/>
        <item x="4"/>
        <item x="51"/>
        <item x="12"/>
        <item x="68"/>
        <item x="18"/>
        <item x="42"/>
        <item x="30"/>
        <item x="82"/>
        <item x="47"/>
        <item x="20"/>
        <item x="59"/>
        <item x="5"/>
        <item x="54"/>
        <item x="11"/>
        <item x="66"/>
        <item x="81"/>
        <item x="69"/>
        <item x="62"/>
        <item x="71"/>
        <item x="29"/>
        <item x="7"/>
        <item x="57"/>
        <item x="25"/>
        <item x="44"/>
        <item x="67"/>
        <item x="6"/>
        <item x="78"/>
        <item x="83"/>
        <item x="22"/>
        <item x="33"/>
        <item x="31"/>
        <item x="73"/>
        <item x="64"/>
        <item x="34"/>
        <item x="1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numFmtId="165" showAll="0"/>
    <pivotField dataField="1"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Average of Total Sales" fld="8" subtotal="average" baseField="2" baseItem="0" numFmtId="166"/>
  </dataFields>
  <formats count="21">
    <format dxfId="44">
      <pivotArea outline="0" collapsedLevelsAreSubtotals="1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5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2" type="button" dataOnly="0" labelOnly="1" outline="0" axis="axisRow" fieldPosition="0"/>
    </format>
    <format dxfId="37">
      <pivotArea dataOnly="0" labelOnly="1" fieldPosition="0">
        <references count="1">
          <reference field="2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5" count="0"/>
        </references>
      </pivotArea>
    </format>
    <format dxfId="34">
      <pivotArea dataOnly="0" labelOnly="1" grandCol="1" outline="0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5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2" type="button" dataOnly="0" labelOnly="1" outline="0" axis="axisRow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5" count="0"/>
        </references>
      </pivotArea>
    </format>
    <format dxfId="24">
      <pivotArea dataOnly="0" labelOnly="1" grandCol="1" outline="0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FB991-EE89-477E-ABAF-2FB848812C4C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4">
  <location ref="BT2:BU14" firstHeaderRow="1" firstDataRow="1" firstDataCol="1"/>
  <pivotFields count="11">
    <pivotField showAll="0"/>
    <pivotField numFmtId="164" showAll="0">
      <items count="87">
        <item x="17"/>
        <item x="58"/>
        <item x="28"/>
        <item x="45"/>
        <item x="16"/>
        <item x="32"/>
        <item x="76"/>
        <item x="46"/>
        <item x="27"/>
        <item x="14"/>
        <item x="80"/>
        <item x="13"/>
        <item x="79"/>
        <item x="77"/>
        <item x="15"/>
        <item x="75"/>
        <item x="35"/>
        <item x="49"/>
        <item x="24"/>
        <item x="63"/>
        <item x="70"/>
        <item x="26"/>
        <item x="19"/>
        <item x="38"/>
        <item x="72"/>
        <item x="2"/>
        <item x="65"/>
        <item x="85"/>
        <item x="41"/>
        <item x="56"/>
        <item x="3"/>
        <item x="60"/>
        <item x="84"/>
        <item x="55"/>
        <item x="40"/>
        <item x="9"/>
        <item x="43"/>
        <item x="8"/>
        <item x="0"/>
        <item x="48"/>
        <item x="74"/>
        <item x="1"/>
        <item x="52"/>
        <item x="39"/>
        <item x="36"/>
        <item x="37"/>
        <item x="53"/>
        <item x="61"/>
        <item x="50"/>
        <item x="23"/>
        <item x="21"/>
        <item x="4"/>
        <item x="51"/>
        <item x="12"/>
        <item x="68"/>
        <item x="18"/>
        <item x="42"/>
        <item x="30"/>
        <item x="82"/>
        <item x="47"/>
        <item x="20"/>
        <item x="59"/>
        <item x="5"/>
        <item x="54"/>
        <item x="11"/>
        <item x="66"/>
        <item x="81"/>
        <item x="69"/>
        <item x="62"/>
        <item x="71"/>
        <item x="29"/>
        <item x="7"/>
        <item x="57"/>
        <item x="25"/>
        <item x="44"/>
        <item x="67"/>
        <item x="6"/>
        <item x="78"/>
        <item x="83"/>
        <item x="22"/>
        <item x="33"/>
        <item x="31"/>
        <item x="73"/>
        <item x="64"/>
        <item x="34"/>
        <item x="1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11">
        <item x="0"/>
        <item x="5"/>
        <item x="3"/>
        <item x="9"/>
        <item x="7"/>
        <item x="2"/>
        <item x="6"/>
        <item x="1"/>
        <item x="8"/>
        <item x="4"/>
        <item t="default"/>
      </items>
    </pivotField>
    <pivotField axis="axisRow" showAll="0">
      <items count="4">
        <item sd="0" x="2"/>
        <item sd="0" x="1"/>
        <item sd="0" x="0"/>
        <item t="default" sd="0"/>
      </items>
    </pivotField>
    <pivotField showAll="0"/>
    <pivotField numFmtId="165" showAll="0"/>
    <pivotField dataField="1" numFmtId="165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2">
    <field x="10"/>
    <field x="5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Total Sales" fld="8" baseField="10" baseItem="0" numFmtId="167"/>
  </dataFields>
  <formats count="25">
    <format dxfId="69">
      <pivotArea outline="0" collapsedLevelsAreSubtotals="1" fieldPosition="0"/>
    </format>
    <format dxfId="68">
      <pivotArea outline="0" fieldPosition="0">
        <references count="1">
          <reference field="4294967294" count="1">
            <x v="0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10" type="button" dataOnly="0" labelOnly="1" outline="0" axis="axisRow" fieldPosition="0"/>
    </format>
    <format dxfId="64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0" type="button" dataOnly="0" labelOnly="1" outline="0" axis="axisRow" fieldPosition="0"/>
    </format>
    <format dxfId="59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8">
      <pivotArea dataOnly="0" labelOnly="1" outline="0" axis="axisValues" fieldPosition="0"/>
    </format>
    <format dxfId="57">
      <pivotArea outline="0" collapsedLevelsAreSubtotals="1" fieldPosition="0"/>
    </format>
    <format dxfId="56">
      <pivotArea collapsedLevelsAreSubtotals="1" fieldPosition="0">
        <references count="1">
          <reference field="10" count="1">
            <x v="1"/>
          </reference>
        </references>
      </pivotArea>
    </format>
    <format dxfId="55">
      <pivotArea collapsedLevelsAreSubtotals="1" fieldPosition="0">
        <references count="1">
          <reference field="10" count="1">
            <x v="2"/>
          </reference>
        </references>
      </pivotArea>
    </format>
    <format dxfId="54">
      <pivotArea collapsedLevelsAreSubtotals="1" fieldPosition="0">
        <references count="1">
          <reference field="10" count="1">
            <x v="3"/>
          </reference>
        </references>
      </pivotArea>
    </format>
    <format dxfId="53">
      <pivotArea collapsedLevelsAreSubtotals="1" fieldPosition="0">
        <references count="1">
          <reference field="10" count="1">
            <x v="4"/>
          </reference>
        </references>
      </pivotArea>
    </format>
    <format dxfId="52">
      <pivotArea collapsedLevelsAreSubtotals="1" fieldPosition="0">
        <references count="1">
          <reference field="10" count="1">
            <x v="5"/>
          </reference>
        </references>
      </pivotArea>
    </format>
    <format dxfId="51">
      <pivotArea collapsedLevelsAreSubtotals="1" fieldPosition="0">
        <references count="1">
          <reference field="10" count="1">
            <x v="6"/>
          </reference>
        </references>
      </pivotArea>
    </format>
    <format dxfId="50">
      <pivotArea collapsedLevelsAreSubtotals="1" fieldPosition="0">
        <references count="1">
          <reference field="10" count="1">
            <x v="7"/>
          </reference>
        </references>
      </pivotArea>
    </format>
    <format dxfId="49">
      <pivotArea collapsedLevelsAreSubtotals="1" fieldPosition="0">
        <references count="1">
          <reference field="10" count="1">
            <x v="8"/>
          </reference>
        </references>
      </pivotArea>
    </format>
    <format dxfId="48">
      <pivotArea collapsedLevelsAreSubtotals="1" fieldPosition="0">
        <references count="1">
          <reference field="10" count="1">
            <x v="9"/>
          </reference>
        </references>
      </pivotArea>
    </format>
    <format dxfId="47">
      <pivotArea collapsedLevelsAreSubtotals="1" fieldPosition="0">
        <references count="1">
          <reference field="10" count="1">
            <x v="10"/>
          </reference>
        </references>
      </pivotArea>
    </format>
    <format dxfId="46">
      <pivotArea collapsedLevelsAreSubtotals="1" fieldPosition="0">
        <references count="1">
          <reference field="10" count="1">
            <x v="11"/>
          </reference>
        </references>
      </pivotArea>
    </format>
    <format dxfId="45">
      <pivotArea collapsedLevelsAreSubtotals="1" fieldPosition="0">
        <references count="1">
          <reference field="10" count="1">
            <x v="12"/>
          </reference>
        </references>
      </pivotArea>
    </format>
  </formats>
  <chartFormats count="1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DBA1C-977F-4845-9521-CF9C80F30AF0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3">
  <location ref="BI1:BJ13" firstHeaderRow="1" firstDataRow="1" firstDataCol="1"/>
  <pivotFields count="11">
    <pivotField showAll="0"/>
    <pivotField numFmtId="164" showAll="0">
      <items count="87">
        <item x="17"/>
        <item x="58"/>
        <item x="28"/>
        <item x="45"/>
        <item x="16"/>
        <item x="32"/>
        <item x="76"/>
        <item x="46"/>
        <item x="27"/>
        <item x="14"/>
        <item x="80"/>
        <item x="13"/>
        <item x="79"/>
        <item x="77"/>
        <item x="15"/>
        <item x="75"/>
        <item x="35"/>
        <item x="49"/>
        <item x="24"/>
        <item x="63"/>
        <item x="70"/>
        <item x="26"/>
        <item x="19"/>
        <item x="38"/>
        <item x="72"/>
        <item x="2"/>
        <item x="65"/>
        <item x="85"/>
        <item x="41"/>
        <item x="56"/>
        <item x="3"/>
        <item x="60"/>
        <item x="84"/>
        <item x="55"/>
        <item x="40"/>
        <item x="9"/>
        <item x="43"/>
        <item x="8"/>
        <item x="0"/>
        <item x="48"/>
        <item x="74"/>
        <item x="1"/>
        <item x="52"/>
        <item x="39"/>
        <item x="36"/>
        <item x="37"/>
        <item x="53"/>
        <item x="61"/>
        <item x="50"/>
        <item x="23"/>
        <item x="21"/>
        <item x="4"/>
        <item x="51"/>
        <item x="12"/>
        <item x="68"/>
        <item x="18"/>
        <item x="42"/>
        <item x="30"/>
        <item x="82"/>
        <item x="47"/>
        <item x="20"/>
        <item x="59"/>
        <item x="5"/>
        <item x="54"/>
        <item x="11"/>
        <item x="66"/>
        <item x="81"/>
        <item x="69"/>
        <item x="62"/>
        <item x="71"/>
        <item x="29"/>
        <item x="7"/>
        <item x="57"/>
        <item x="25"/>
        <item x="44"/>
        <item x="67"/>
        <item x="6"/>
        <item x="78"/>
        <item x="83"/>
        <item x="22"/>
        <item x="33"/>
        <item x="31"/>
        <item x="73"/>
        <item x="64"/>
        <item x="34"/>
        <item x="1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11">
        <item x="0"/>
        <item x="5"/>
        <item x="3"/>
        <item x="9"/>
        <item x="7"/>
        <item x="2"/>
        <item x="6"/>
        <item x="1"/>
        <item x="8"/>
        <item x="4"/>
        <item t="default"/>
      </items>
    </pivotField>
    <pivotField showAll="0">
      <items count="4">
        <item sd="0" x="2"/>
        <item sd="0" x="1"/>
        <item sd="0" x="0"/>
        <item t="default" sd="0"/>
      </items>
    </pivotField>
    <pivotField showAll="0"/>
    <pivotField numFmtId="165" showAll="0"/>
    <pivotField dataField="1" numFmtId="165"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2">
    <field x="10"/>
    <field x="9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Total Sales" fld="8" showDataAs="percentOfTotal" baseField="10" baseItem="0" numFmtId="10"/>
  </dataFields>
  <formats count="12">
    <format dxfId="81">
      <pivotArea outline="0" collapsedLevelsAreSubtotals="1" fieldPosition="0"/>
    </format>
    <format dxfId="80">
      <pivotArea outline="0" fieldPosition="0">
        <references count="1">
          <reference field="4294967294" count="1">
            <x v="0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0" type="button" dataOnly="0" labelOnly="1" outline="0" axis="axisRow" fieldPosition="0"/>
    </format>
    <format dxfId="76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0" type="button" dataOnly="0" labelOnly="1" outline="0" axis="axisRow" fieldPosition="0"/>
    </format>
    <format dxfId="71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0">
      <pivotArea dataOnly="0" labelOnly="1" outline="0" axis="axisValues" fieldPosition="0"/>
    </format>
  </formats>
  <chartFormats count="1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87F0A-BDB8-437E-B76A-48764A4CCB36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0">
  <location ref="AM1:AO9" firstHeaderRow="1" firstDataRow="1" firstDataCol="2"/>
  <pivotFields count="11">
    <pivotField compact="0" outline="0" showAll="0"/>
    <pivotField axis="axisRow" compact="0" numFmtId="164" outline="0" showAll="0">
      <items count="87">
        <item x="17"/>
        <item x="58"/>
        <item x="28"/>
        <item x="45"/>
        <item x="16"/>
        <item x="32"/>
        <item x="76"/>
        <item x="46"/>
        <item x="27"/>
        <item x="14"/>
        <item x="80"/>
        <item x="13"/>
        <item x="79"/>
        <item x="77"/>
        <item x="15"/>
        <item x="75"/>
        <item x="35"/>
        <item x="49"/>
        <item x="24"/>
        <item x="63"/>
        <item x="70"/>
        <item x="26"/>
        <item x="19"/>
        <item x="38"/>
        <item x="72"/>
        <item x="2"/>
        <item x="65"/>
        <item x="85"/>
        <item x="41"/>
        <item x="56"/>
        <item x="3"/>
        <item x="60"/>
        <item x="84"/>
        <item x="55"/>
        <item x="40"/>
        <item x="9"/>
        <item x="43"/>
        <item x="8"/>
        <item x="0"/>
        <item x="48"/>
        <item x="74"/>
        <item x="1"/>
        <item x="52"/>
        <item x="39"/>
        <item x="36"/>
        <item x="37"/>
        <item x="53"/>
        <item x="61"/>
        <item x="50"/>
        <item x="23"/>
        <item x="21"/>
        <item x="4"/>
        <item x="51"/>
        <item x="12"/>
        <item x="68"/>
        <item x="18"/>
        <item x="42"/>
        <item x="30"/>
        <item x="82"/>
        <item x="47"/>
        <item x="20"/>
        <item x="59"/>
        <item x="5"/>
        <item x="54"/>
        <item x="11"/>
        <item x="66"/>
        <item x="81"/>
        <item x="69"/>
        <item x="62"/>
        <item x="71"/>
        <item x="29"/>
        <item x="7"/>
        <item x="57"/>
        <item x="25"/>
        <item x="44"/>
        <item x="67"/>
        <item x="6"/>
        <item x="78"/>
        <item x="83"/>
        <item x="22"/>
        <item x="33"/>
        <item x="31"/>
        <item x="73"/>
        <item x="64"/>
        <item x="34"/>
        <item x="10"/>
        <item t="default"/>
      </items>
    </pivotField>
    <pivotField compact="0" outline="0" showAll="0">
      <items count="5">
        <item x="3"/>
        <item x="1"/>
        <item x="0"/>
        <item x="2"/>
        <item t="default"/>
      </items>
    </pivotField>
    <pivotField axis="axisRow" compact="0" outline="0" showAll="0">
      <items count="9">
        <item sd="0" x="6"/>
        <item sd="0" x="4"/>
        <item sd="0" x="7"/>
        <item sd="0" x="2"/>
        <item sd="0" x="5"/>
        <item sd="0" x="0"/>
        <item sd="0" x="1"/>
        <item sd="0" x="3"/>
        <item t="default" sd="0"/>
      </items>
    </pivotField>
    <pivotField compact="0" outline="0" showAll="0"/>
    <pivotField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numFmtId="165" outline="0" showAll="0"/>
    <pivotField compact="0" numFmtId="165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"/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Quantity" fld="6" baseField="0" baseItem="0"/>
  </dataFields>
  <formats count="13">
    <format dxfId="94">
      <pivotArea outline="0" collapsedLevelsAreSubtotals="1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3" type="button" dataOnly="0" labelOnly="1" outline="0" axis="axisRow" fieldPosition="0"/>
    </format>
    <format dxfId="90">
      <pivotArea field="1" type="button" dataOnly="0" labelOnly="1" outline="0" axis="axisRow" fieldPosition="1"/>
    </format>
    <format dxfId="89">
      <pivotArea dataOnly="0" labelOnly="1" outline="0" fieldPosition="0">
        <references count="1">
          <reference field="3" count="0"/>
        </references>
      </pivotArea>
    </format>
    <format dxfId="88">
      <pivotArea dataOnly="0" labelOnly="1" outline="0" axis="axisValues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3" type="button" dataOnly="0" labelOnly="1" outline="0" axis="axisRow" fieldPosition="0"/>
    </format>
    <format dxfId="84">
      <pivotArea field="1" type="button" dataOnly="0" labelOnly="1" outline="0" axis="axisRow" fieldPosition="1"/>
    </format>
    <format dxfId="83">
      <pivotArea dataOnly="0" labelOnly="1" outline="0" fieldPosition="0">
        <references count="1">
          <reference field="3" count="0"/>
        </references>
      </pivotArea>
    </format>
    <format dxfId="82">
      <pivotArea dataOnly="0" labelOnly="1" outline="0" axis="axisValues" fieldPosition="0"/>
    </format>
  </format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093C0-8EE1-42C9-B15C-F8064D99856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8" firstHeaderRow="1" firstDataRow="1" firstDataCol="1" rowPageCount="1" colPageCount="1"/>
  <pivotFields count="11">
    <pivotField showAll="0"/>
    <pivotField numFmtId="164" showAll="0">
      <items count="87">
        <item x="17"/>
        <item x="58"/>
        <item x="28"/>
        <item x="45"/>
        <item x="16"/>
        <item x="32"/>
        <item x="76"/>
        <item x="46"/>
        <item x="27"/>
        <item x="14"/>
        <item x="80"/>
        <item x="13"/>
        <item x="79"/>
        <item x="77"/>
        <item x="15"/>
        <item x="75"/>
        <item x="35"/>
        <item x="49"/>
        <item x="24"/>
        <item x="63"/>
        <item x="70"/>
        <item x="26"/>
        <item x="19"/>
        <item x="38"/>
        <item x="72"/>
        <item x="2"/>
        <item x="65"/>
        <item x="85"/>
        <item x="41"/>
        <item x="56"/>
        <item x="3"/>
        <item x="60"/>
        <item x="84"/>
        <item x="55"/>
        <item x="40"/>
        <item x="9"/>
        <item x="43"/>
        <item x="8"/>
        <item x="0"/>
        <item x="48"/>
        <item x="74"/>
        <item x="1"/>
        <item x="52"/>
        <item x="39"/>
        <item x="36"/>
        <item x="37"/>
        <item x="53"/>
        <item x="61"/>
        <item x="50"/>
        <item x="23"/>
        <item x="21"/>
        <item x="4"/>
        <item x="51"/>
        <item x="12"/>
        <item x="68"/>
        <item x="18"/>
        <item x="42"/>
        <item x="30"/>
        <item x="82"/>
        <item x="47"/>
        <item x="20"/>
        <item x="59"/>
        <item x="5"/>
        <item x="54"/>
        <item x="11"/>
        <item x="66"/>
        <item x="81"/>
        <item x="69"/>
        <item x="62"/>
        <item x="71"/>
        <item x="29"/>
        <item x="7"/>
        <item x="57"/>
        <item x="25"/>
        <item x="44"/>
        <item x="67"/>
        <item x="6"/>
        <item x="78"/>
        <item x="83"/>
        <item x="22"/>
        <item x="33"/>
        <item x="31"/>
        <item x="73"/>
        <item x="64"/>
        <item x="34"/>
        <item x="1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numFmtId="165" showAll="0"/>
    <pivotField dataField="1"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5" hier="-1"/>
  </pageFields>
  <dataFields count="1">
    <dataField name="Average of Total Sales" fld="8" subtotal="average" baseField="2" baseItem="0" numFmtId="165"/>
  </dataFields>
  <formats count="12"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2" type="button" dataOnly="0" labelOnly="1" outline="0" axis="axisRow" fieldPosition="0"/>
    </format>
    <format dxfId="103">
      <pivotArea dataOnly="0" labelOnly="1" fieldPosition="0">
        <references count="1">
          <reference field="2" count="0"/>
        </references>
      </pivotArea>
    </format>
    <format dxfId="102">
      <pivotArea dataOnly="0" labelOnly="1" grandRow="1" outline="0" fieldPosition="0"/>
    </format>
    <format dxfId="101">
      <pivotArea dataOnly="0" labelOnly="1" outline="0" axis="axisValues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2" type="button" dataOnly="0" labelOnly="1" outline="0" axis="axisRow" fieldPosition="0"/>
    </format>
    <format dxfId="97">
      <pivotArea dataOnly="0" labelOnly="1" fieldPosition="0">
        <references count="1">
          <reference field="2" count="0"/>
        </references>
      </pivotArea>
    </format>
    <format dxfId="96">
      <pivotArea dataOnly="0" labelOnly="1" grandRow="1" outline="0" fieldPosition="0"/>
    </format>
    <format dxfId="95">
      <pivotArea dataOnly="0" labelOnly="1" outline="0" axis="axisValues" fieldPosition="0"/>
    </format>
  </formats>
  <chartFormats count="5">
    <chartFormat chart="1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9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9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9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CC4FC-3EE7-4ED2-9459-7E879E6DFA9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B1:AC10" firstHeaderRow="1" firstDataRow="1" firstDataCol="1"/>
  <pivotFields count="11">
    <pivotField showAll="0"/>
    <pivotField numFmtId="164" showAll="0">
      <items count="87">
        <item x="17"/>
        <item x="58"/>
        <item x="28"/>
        <item x="45"/>
        <item x="16"/>
        <item x="32"/>
        <item x="76"/>
        <item x="46"/>
        <item x="27"/>
        <item x="14"/>
        <item x="80"/>
        <item x="13"/>
        <item x="79"/>
        <item x="77"/>
        <item x="15"/>
        <item x="75"/>
        <item x="35"/>
        <item x="49"/>
        <item x="24"/>
        <item x="63"/>
        <item x="70"/>
        <item x="26"/>
        <item x="19"/>
        <item x="38"/>
        <item x="72"/>
        <item x="2"/>
        <item x="65"/>
        <item x="85"/>
        <item x="41"/>
        <item x="56"/>
        <item x="3"/>
        <item x="60"/>
        <item x="84"/>
        <item x="55"/>
        <item x="40"/>
        <item x="9"/>
        <item x="43"/>
        <item x="8"/>
        <item x="0"/>
        <item x="48"/>
        <item x="74"/>
        <item x="1"/>
        <item x="52"/>
        <item x="39"/>
        <item x="36"/>
        <item x="37"/>
        <item x="53"/>
        <item x="61"/>
        <item x="50"/>
        <item x="23"/>
        <item x="21"/>
        <item x="4"/>
        <item x="51"/>
        <item x="12"/>
        <item x="68"/>
        <item x="18"/>
        <item x="42"/>
        <item x="30"/>
        <item x="82"/>
        <item x="47"/>
        <item x="20"/>
        <item x="59"/>
        <item x="5"/>
        <item x="54"/>
        <item x="11"/>
        <item x="66"/>
        <item x="81"/>
        <item x="69"/>
        <item x="62"/>
        <item x="71"/>
        <item x="29"/>
        <item x="7"/>
        <item x="57"/>
        <item x="25"/>
        <item x="44"/>
        <item x="67"/>
        <item x="6"/>
        <item x="78"/>
        <item x="83"/>
        <item x="22"/>
        <item x="33"/>
        <item x="31"/>
        <item x="73"/>
        <item x="64"/>
        <item x="34"/>
        <item x="1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axis="axisRow" showAll="0">
      <items count="9">
        <item x="6"/>
        <item x="4"/>
        <item x="7"/>
        <item x="2"/>
        <item x="5"/>
        <item x="0"/>
        <item x="1"/>
        <item x="3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numFmtId="165" showAll="0"/>
    <pivotField dataField="1"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8" baseField="0" baseItem="0" numFmtId="165"/>
  </dataFields>
  <formats count="13">
    <format dxfId="119">
      <pivotArea outline="0" collapsedLevelsAreSubtotals="1" fieldPosition="0"/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3" type="button" dataOnly="0" labelOnly="1" outline="0" axis="axisRow" fieldPosition="0"/>
    </format>
    <format dxfId="115">
      <pivotArea dataOnly="0" labelOnly="1" fieldPosition="0">
        <references count="1">
          <reference field="3" count="0"/>
        </references>
      </pivotArea>
    </format>
    <format dxfId="114">
      <pivotArea dataOnly="0" labelOnly="1" grandRow="1" outline="0" fieldPosition="0"/>
    </format>
    <format dxfId="113">
      <pivotArea dataOnly="0" labelOnly="1" outline="0" axis="axisValues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3" type="button" dataOnly="0" labelOnly="1" outline="0" axis="axisRow" fieldPosition="0"/>
    </format>
    <format dxfId="109">
      <pivotArea dataOnly="0" labelOnly="1" fieldPosition="0">
        <references count="1">
          <reference field="3" count="0"/>
        </references>
      </pivotArea>
    </format>
    <format dxfId="108">
      <pivotArea dataOnly="0" labelOnly="1" grandRow="1" outline="0" fieldPosition="0"/>
    </format>
    <format dxfId="107">
      <pivotArea dataOnly="0" labelOnly="1" outline="0" axis="axisValues" fieldPosition="0"/>
    </format>
  </formats>
  <chartFormats count="1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A5550-6AEA-48D4-9201-25F892B5E51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N1:O6" firstHeaderRow="1" firstDataRow="1" firstDataCol="1"/>
  <pivotFields count="11">
    <pivotField showAll="0"/>
    <pivotField numFmtId="164" showAll="0">
      <items count="87">
        <item x="17"/>
        <item x="58"/>
        <item x="28"/>
        <item x="45"/>
        <item x="16"/>
        <item x="32"/>
        <item x="76"/>
        <item x="46"/>
        <item x="27"/>
        <item x="14"/>
        <item x="80"/>
        <item x="13"/>
        <item x="79"/>
        <item x="77"/>
        <item x="15"/>
        <item x="75"/>
        <item x="35"/>
        <item x="49"/>
        <item x="24"/>
        <item x="63"/>
        <item x="70"/>
        <item x="26"/>
        <item x="19"/>
        <item x="38"/>
        <item x="72"/>
        <item x="2"/>
        <item x="65"/>
        <item x="85"/>
        <item x="41"/>
        <item x="56"/>
        <item x="3"/>
        <item x="60"/>
        <item x="84"/>
        <item x="55"/>
        <item x="40"/>
        <item x="9"/>
        <item x="43"/>
        <item x="8"/>
        <item x="0"/>
        <item x="48"/>
        <item x="74"/>
        <item x="1"/>
        <item x="52"/>
        <item x="39"/>
        <item x="36"/>
        <item x="37"/>
        <item x="53"/>
        <item x="61"/>
        <item x="50"/>
        <item x="23"/>
        <item x="21"/>
        <item x="4"/>
        <item x="51"/>
        <item x="12"/>
        <item x="68"/>
        <item x="18"/>
        <item x="42"/>
        <item x="30"/>
        <item x="82"/>
        <item x="47"/>
        <item x="20"/>
        <item x="59"/>
        <item x="5"/>
        <item x="54"/>
        <item x="11"/>
        <item x="66"/>
        <item x="81"/>
        <item x="69"/>
        <item x="62"/>
        <item x="71"/>
        <item x="29"/>
        <item x="7"/>
        <item x="57"/>
        <item x="25"/>
        <item x="44"/>
        <item x="67"/>
        <item x="6"/>
        <item x="78"/>
        <item x="83"/>
        <item x="22"/>
        <item x="33"/>
        <item x="31"/>
        <item x="73"/>
        <item x="64"/>
        <item x="34"/>
        <item x="10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dataField="1" showAll="0"/>
    <pivotField numFmtId="165" showAll="0"/>
    <pivotField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6" baseField="0" baseItem="0"/>
  </dataFields>
  <formats count="13">
    <format dxfId="132">
      <pivotArea outline="0" collapsedLevelsAreSubtotals="1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2" type="button" dataOnly="0" labelOnly="1" outline="0" axis="axisRow" fieldPosition="0"/>
    </format>
    <format dxfId="128">
      <pivotArea dataOnly="0" labelOnly="1" fieldPosition="0">
        <references count="1">
          <reference field="2" count="0"/>
        </references>
      </pivotArea>
    </format>
    <format dxfId="127">
      <pivotArea dataOnly="0" labelOnly="1" grandRow="1" outline="0" fieldPosition="0"/>
    </format>
    <format dxfId="126">
      <pivotArea dataOnly="0" labelOnly="1" outline="0" axis="axisValues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2" type="button" dataOnly="0" labelOnly="1" outline="0" axis="axisRow" fieldPosition="0"/>
    </format>
    <format dxfId="122">
      <pivotArea dataOnly="0" labelOnly="1" fieldPosition="0">
        <references count="1">
          <reference field="2" count="0"/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</formats>
  <chartFormats count="5">
    <chartFormat chart="2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ACB4DF-1EC8-4D9F-81FD-A781E9C33A62}" name="Table1" displayName="Table1" ref="A1:I101" totalsRowShown="0" headerRowDxfId="136">
  <autoFilter ref="A1:I101" xr:uid="{8DACB4DF-1EC8-4D9F-81FD-A781E9C33A62}"/>
  <tableColumns count="9">
    <tableColumn id="1" xr3:uid="{39232473-0171-478C-82B7-D0CB86588550}" name="Order ID"/>
    <tableColumn id="2" xr3:uid="{BA1C1C9E-7BA2-4E25-9BE3-A9CF56EFDD9F}" name="Date" dataDxfId="135"/>
    <tableColumn id="3" xr3:uid="{93B74AE8-339E-4E09-849E-8E4C2DA7FB5A}" name="Region"/>
    <tableColumn id="4" xr3:uid="{421C6587-9510-4166-B74C-D3B896652A30}" name="Sales Rep"/>
    <tableColumn id="5" xr3:uid="{2A8DFC4F-3CF2-42EA-9E80-09E51059F419}" name="Product"/>
    <tableColumn id="6" xr3:uid="{9FD7A56B-EEBE-4D4F-ADA6-EA694AB53EAB}" name="Category"/>
    <tableColumn id="7" xr3:uid="{E2D839E8-D565-4602-8543-B22FB900BC47}" name="Quantity"/>
    <tableColumn id="8" xr3:uid="{5F45725F-B3F6-492E-91D6-6F9E2C84F573}" name="Unit Price" dataDxfId="134"/>
    <tableColumn id="9" xr3:uid="{DA721D66-3BD2-4B8C-99A7-41335F461A34}" name="Total Sales" dataDxfId="13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E922-4115-4E9A-B183-FF2FE34C5EDA}">
  <dimension ref="A1:I101"/>
  <sheetViews>
    <sheetView topLeftCell="A90" zoomScale="115" zoomScaleNormal="115" workbookViewId="0">
      <selection activeCell="H97" sqref="A2:I101"/>
    </sheetView>
  </sheetViews>
  <sheetFormatPr defaultRowHeight="14.5" x14ac:dyDescent="0.35"/>
  <cols>
    <col min="1" max="1" width="9.36328125" bestFit="1" customWidth="1"/>
    <col min="2" max="2" width="11.453125" bestFit="1" customWidth="1"/>
    <col min="3" max="3" width="5.54296875" bestFit="1" customWidth="1"/>
    <col min="4" max="4" width="12.54296875" bestFit="1" customWidth="1"/>
    <col min="5" max="5" width="11" bestFit="1" customWidth="1"/>
    <col min="6" max="6" width="10.7265625" bestFit="1" customWidth="1"/>
    <col min="7" max="7" width="2.90625" bestFit="1" customWidth="1"/>
    <col min="8" max="8" width="9.1796875" bestFit="1" customWidth="1"/>
    <col min="9" max="9" width="10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s="2">
        <v>45446</v>
      </c>
      <c r="C2" t="s">
        <v>10</v>
      </c>
      <c r="D2" t="s">
        <v>11</v>
      </c>
      <c r="E2" t="s">
        <v>12</v>
      </c>
      <c r="F2" t="s">
        <v>13</v>
      </c>
      <c r="G2">
        <v>5</v>
      </c>
      <c r="H2" s="3">
        <v>350</v>
      </c>
      <c r="I2" s="3">
        <v>1750</v>
      </c>
    </row>
    <row r="3" spans="1:9" x14ac:dyDescent="0.35">
      <c r="A3" t="s">
        <v>14</v>
      </c>
      <c r="B3" s="2">
        <v>45452</v>
      </c>
      <c r="C3" t="s">
        <v>15</v>
      </c>
      <c r="D3" t="s">
        <v>16</v>
      </c>
      <c r="E3" t="s">
        <v>17</v>
      </c>
      <c r="F3" t="s">
        <v>18</v>
      </c>
      <c r="G3">
        <v>5</v>
      </c>
      <c r="H3" s="3">
        <v>800</v>
      </c>
      <c r="I3" s="3">
        <v>4000</v>
      </c>
    </row>
    <row r="4" spans="1:9" x14ac:dyDescent="0.35">
      <c r="A4" t="s">
        <v>19</v>
      </c>
      <c r="B4" s="2">
        <v>45384</v>
      </c>
      <c r="C4" t="s">
        <v>15</v>
      </c>
      <c r="D4" t="s">
        <v>16</v>
      </c>
      <c r="E4" t="s">
        <v>20</v>
      </c>
      <c r="F4" t="s">
        <v>18</v>
      </c>
      <c r="G4">
        <v>10</v>
      </c>
      <c r="H4" s="3">
        <v>300</v>
      </c>
      <c r="I4" s="3">
        <v>3000</v>
      </c>
    </row>
    <row r="5" spans="1:9" x14ac:dyDescent="0.35">
      <c r="A5" t="s">
        <v>21</v>
      </c>
      <c r="B5" s="2">
        <v>45405</v>
      </c>
      <c r="C5" t="s">
        <v>15</v>
      </c>
      <c r="D5" t="s">
        <v>22</v>
      </c>
      <c r="E5" t="s">
        <v>23</v>
      </c>
      <c r="F5" t="s">
        <v>24</v>
      </c>
      <c r="G5">
        <v>9</v>
      </c>
      <c r="H5" s="3">
        <v>120</v>
      </c>
      <c r="I5" s="3">
        <v>1080</v>
      </c>
    </row>
    <row r="6" spans="1:9" x14ac:dyDescent="0.35">
      <c r="A6" t="s">
        <v>25</v>
      </c>
      <c r="B6" s="2">
        <v>45518</v>
      </c>
      <c r="C6" t="s">
        <v>26</v>
      </c>
      <c r="D6" t="s">
        <v>27</v>
      </c>
      <c r="E6" t="s">
        <v>28</v>
      </c>
      <c r="F6" t="s">
        <v>18</v>
      </c>
      <c r="G6">
        <v>5</v>
      </c>
      <c r="H6" s="3">
        <v>450</v>
      </c>
      <c r="I6" s="3">
        <v>2250</v>
      </c>
    </row>
    <row r="7" spans="1:9" x14ac:dyDescent="0.35">
      <c r="A7" t="s">
        <v>29</v>
      </c>
      <c r="B7" s="2">
        <v>45560</v>
      </c>
      <c r="C7" t="s">
        <v>30</v>
      </c>
      <c r="D7" t="s">
        <v>31</v>
      </c>
      <c r="E7" t="s">
        <v>32</v>
      </c>
      <c r="F7" t="s">
        <v>13</v>
      </c>
      <c r="G7">
        <v>9</v>
      </c>
      <c r="H7" s="3">
        <v>500</v>
      </c>
      <c r="I7" s="3">
        <v>4500</v>
      </c>
    </row>
    <row r="8" spans="1:9" x14ac:dyDescent="0.35">
      <c r="A8" t="s">
        <v>33</v>
      </c>
      <c r="B8" s="2">
        <v>45630</v>
      </c>
      <c r="C8" t="s">
        <v>26</v>
      </c>
      <c r="D8" t="s">
        <v>34</v>
      </c>
      <c r="E8" t="s">
        <v>23</v>
      </c>
      <c r="F8" t="s">
        <v>24</v>
      </c>
      <c r="G8">
        <v>2</v>
      </c>
      <c r="H8" s="3">
        <v>120</v>
      </c>
      <c r="I8" s="3">
        <v>240</v>
      </c>
    </row>
    <row r="9" spans="1:9" x14ac:dyDescent="0.35">
      <c r="A9" t="s">
        <v>35</v>
      </c>
      <c r="B9" s="2">
        <v>45602</v>
      </c>
      <c r="C9" t="s">
        <v>26</v>
      </c>
      <c r="D9" t="s">
        <v>27</v>
      </c>
      <c r="E9" t="s">
        <v>32</v>
      </c>
      <c r="F9" t="s">
        <v>13</v>
      </c>
      <c r="G9">
        <v>1</v>
      </c>
      <c r="H9" s="3">
        <v>500</v>
      </c>
      <c r="I9" s="3">
        <v>500</v>
      </c>
    </row>
    <row r="10" spans="1:9" x14ac:dyDescent="0.35">
      <c r="A10" t="s">
        <v>36</v>
      </c>
      <c r="B10" s="2">
        <v>45437</v>
      </c>
      <c r="C10" t="s">
        <v>10</v>
      </c>
      <c r="D10" t="s">
        <v>11</v>
      </c>
      <c r="E10" t="s">
        <v>23</v>
      </c>
      <c r="F10" t="s">
        <v>24</v>
      </c>
      <c r="G10">
        <v>10</v>
      </c>
      <c r="H10" s="3">
        <v>120</v>
      </c>
      <c r="I10" s="3">
        <v>1200</v>
      </c>
    </row>
    <row r="11" spans="1:9" x14ac:dyDescent="0.35">
      <c r="A11" t="s">
        <v>37</v>
      </c>
      <c r="B11" s="2">
        <v>45430</v>
      </c>
      <c r="C11" t="s">
        <v>10</v>
      </c>
      <c r="D11" t="s">
        <v>11</v>
      </c>
      <c r="E11" t="s">
        <v>17</v>
      </c>
      <c r="F11" t="s">
        <v>18</v>
      </c>
      <c r="G11">
        <v>9</v>
      </c>
      <c r="H11" s="3">
        <v>800</v>
      </c>
      <c r="I11" s="3">
        <v>7200</v>
      </c>
    </row>
    <row r="12" spans="1:9" x14ac:dyDescent="0.35">
      <c r="A12" t="s">
        <v>38</v>
      </c>
      <c r="B12" s="2">
        <v>45653</v>
      </c>
      <c r="C12" t="s">
        <v>26</v>
      </c>
      <c r="D12" t="s">
        <v>27</v>
      </c>
      <c r="E12" t="s">
        <v>39</v>
      </c>
      <c r="F12" t="s">
        <v>24</v>
      </c>
      <c r="G12">
        <v>1</v>
      </c>
      <c r="H12" s="3">
        <v>45</v>
      </c>
      <c r="I12" s="3">
        <v>45</v>
      </c>
    </row>
    <row r="13" spans="1:9" x14ac:dyDescent="0.35">
      <c r="A13" t="s">
        <v>40</v>
      </c>
      <c r="B13" s="2">
        <v>45570</v>
      </c>
      <c r="C13" t="s">
        <v>10</v>
      </c>
      <c r="D13" t="s">
        <v>41</v>
      </c>
      <c r="E13" t="s">
        <v>39</v>
      </c>
      <c r="F13" t="s">
        <v>24</v>
      </c>
      <c r="G13">
        <v>3</v>
      </c>
      <c r="H13" s="3">
        <v>45</v>
      </c>
      <c r="I13" s="3">
        <v>135</v>
      </c>
    </row>
    <row r="14" spans="1:9" x14ac:dyDescent="0.35">
      <c r="A14" t="s">
        <v>42</v>
      </c>
      <c r="B14" s="2">
        <v>45523</v>
      </c>
      <c r="C14" t="s">
        <v>26</v>
      </c>
      <c r="D14" t="s">
        <v>34</v>
      </c>
      <c r="E14" t="s">
        <v>17</v>
      </c>
      <c r="F14" t="s">
        <v>18</v>
      </c>
      <c r="G14">
        <v>9</v>
      </c>
      <c r="H14" s="3">
        <v>800</v>
      </c>
      <c r="I14" s="3">
        <v>7200</v>
      </c>
    </row>
    <row r="15" spans="1:9" x14ac:dyDescent="0.35">
      <c r="A15" t="s">
        <v>43</v>
      </c>
      <c r="B15" s="2">
        <v>45340</v>
      </c>
      <c r="C15" t="s">
        <v>15</v>
      </c>
      <c r="D15" t="s">
        <v>22</v>
      </c>
      <c r="E15" t="s">
        <v>32</v>
      </c>
      <c r="F15" t="s">
        <v>13</v>
      </c>
      <c r="G15">
        <v>3</v>
      </c>
      <c r="H15" s="3">
        <v>500</v>
      </c>
      <c r="I15" s="3">
        <v>1500</v>
      </c>
    </row>
    <row r="16" spans="1:9" x14ac:dyDescent="0.35">
      <c r="A16" t="s">
        <v>44</v>
      </c>
      <c r="B16" s="2">
        <v>45335</v>
      </c>
      <c r="C16" t="s">
        <v>15</v>
      </c>
      <c r="D16" t="s">
        <v>16</v>
      </c>
      <c r="E16" t="s">
        <v>28</v>
      </c>
      <c r="F16" t="s">
        <v>18</v>
      </c>
      <c r="G16">
        <v>5</v>
      </c>
      <c r="H16" s="3">
        <v>450</v>
      </c>
      <c r="I16" s="3">
        <v>2250</v>
      </c>
    </row>
    <row r="17" spans="1:9" x14ac:dyDescent="0.35">
      <c r="A17" t="s">
        <v>45</v>
      </c>
      <c r="B17" s="2">
        <v>45347</v>
      </c>
      <c r="C17" t="s">
        <v>30</v>
      </c>
      <c r="D17" t="s">
        <v>46</v>
      </c>
      <c r="E17" t="s">
        <v>47</v>
      </c>
      <c r="F17" t="s">
        <v>18</v>
      </c>
      <c r="G17">
        <v>4</v>
      </c>
      <c r="H17" s="3">
        <v>1200</v>
      </c>
      <c r="I17" s="3">
        <v>4800</v>
      </c>
    </row>
    <row r="18" spans="1:9" x14ac:dyDescent="0.35">
      <c r="A18" t="s">
        <v>48</v>
      </c>
      <c r="B18" s="2">
        <v>45307</v>
      </c>
      <c r="C18" t="s">
        <v>15</v>
      </c>
      <c r="D18" t="s">
        <v>22</v>
      </c>
      <c r="E18" t="s">
        <v>49</v>
      </c>
      <c r="F18" t="s">
        <v>18</v>
      </c>
      <c r="G18">
        <v>2</v>
      </c>
      <c r="H18" s="3">
        <v>250</v>
      </c>
      <c r="I18" s="3">
        <v>500</v>
      </c>
    </row>
    <row r="19" spans="1:9" x14ac:dyDescent="0.35">
      <c r="A19" t="s">
        <v>50</v>
      </c>
      <c r="B19" s="2">
        <v>45296</v>
      </c>
      <c r="C19" t="s">
        <v>15</v>
      </c>
      <c r="D19" t="s">
        <v>22</v>
      </c>
      <c r="E19" t="s">
        <v>39</v>
      </c>
      <c r="F19" t="s">
        <v>24</v>
      </c>
      <c r="G19">
        <v>4</v>
      </c>
      <c r="H19" s="3">
        <v>45</v>
      </c>
      <c r="I19" s="3">
        <v>180</v>
      </c>
    </row>
    <row r="20" spans="1:9" x14ac:dyDescent="0.35">
      <c r="A20" t="s">
        <v>51</v>
      </c>
      <c r="B20" s="2">
        <v>45535</v>
      </c>
      <c r="C20" t="s">
        <v>15</v>
      </c>
      <c r="D20" t="s">
        <v>22</v>
      </c>
      <c r="E20" t="s">
        <v>39</v>
      </c>
      <c r="F20" t="s">
        <v>24</v>
      </c>
      <c r="G20">
        <v>7</v>
      </c>
      <c r="H20" s="3">
        <v>45</v>
      </c>
      <c r="I20" s="3">
        <v>315</v>
      </c>
    </row>
    <row r="21" spans="1:9" x14ac:dyDescent="0.35">
      <c r="A21" t="s">
        <v>52</v>
      </c>
      <c r="B21" s="2">
        <v>45380</v>
      </c>
      <c r="C21" t="s">
        <v>26</v>
      </c>
      <c r="D21" t="s">
        <v>34</v>
      </c>
      <c r="E21" t="s">
        <v>28</v>
      </c>
      <c r="F21" t="s">
        <v>18</v>
      </c>
      <c r="G21">
        <v>3</v>
      </c>
      <c r="H21" s="3">
        <v>450</v>
      </c>
      <c r="I21" s="3">
        <v>1350</v>
      </c>
    </row>
    <row r="22" spans="1:9" x14ac:dyDescent="0.35">
      <c r="A22" t="s">
        <v>53</v>
      </c>
      <c r="B22" s="2">
        <v>45549</v>
      </c>
      <c r="C22" t="s">
        <v>10</v>
      </c>
      <c r="D22" t="s">
        <v>11</v>
      </c>
      <c r="E22" t="s">
        <v>17</v>
      </c>
      <c r="F22" t="s">
        <v>18</v>
      </c>
      <c r="G22">
        <v>3</v>
      </c>
      <c r="H22" s="3">
        <v>800</v>
      </c>
      <c r="I22" s="3">
        <v>2400</v>
      </c>
    </row>
    <row r="23" spans="1:9" x14ac:dyDescent="0.35">
      <c r="A23" t="s">
        <v>54</v>
      </c>
      <c r="B23" s="2">
        <v>45510</v>
      </c>
      <c r="C23" t="s">
        <v>30</v>
      </c>
      <c r="D23" t="s">
        <v>46</v>
      </c>
      <c r="E23" t="s">
        <v>39</v>
      </c>
      <c r="F23" t="s">
        <v>24</v>
      </c>
      <c r="G23">
        <v>5</v>
      </c>
      <c r="H23" s="3">
        <v>45</v>
      </c>
      <c r="I23" s="3">
        <v>225</v>
      </c>
    </row>
    <row r="24" spans="1:9" x14ac:dyDescent="0.35">
      <c r="A24" t="s">
        <v>55</v>
      </c>
      <c r="B24" s="2">
        <v>45637</v>
      </c>
      <c r="C24" t="s">
        <v>15</v>
      </c>
      <c r="D24" t="s">
        <v>16</v>
      </c>
      <c r="E24" t="s">
        <v>32</v>
      </c>
      <c r="F24" t="s">
        <v>13</v>
      </c>
      <c r="G24">
        <v>10</v>
      </c>
      <c r="H24" s="3">
        <v>500</v>
      </c>
      <c r="I24" s="3">
        <v>5000</v>
      </c>
    </row>
    <row r="25" spans="1:9" x14ac:dyDescent="0.35">
      <c r="A25" t="s">
        <v>56</v>
      </c>
      <c r="B25" s="2">
        <v>45506</v>
      </c>
      <c r="C25" t="s">
        <v>30</v>
      </c>
      <c r="D25" t="s">
        <v>46</v>
      </c>
      <c r="E25" t="s">
        <v>47</v>
      </c>
      <c r="F25" t="s">
        <v>18</v>
      </c>
      <c r="G25">
        <v>7</v>
      </c>
      <c r="H25" s="3">
        <v>1200</v>
      </c>
      <c r="I25" s="3">
        <v>8400</v>
      </c>
    </row>
    <row r="26" spans="1:9" x14ac:dyDescent="0.35">
      <c r="A26" t="s">
        <v>57</v>
      </c>
      <c r="B26" s="2">
        <v>45367</v>
      </c>
      <c r="C26" t="s">
        <v>30</v>
      </c>
      <c r="D26" t="s">
        <v>46</v>
      </c>
      <c r="E26" t="s">
        <v>28</v>
      </c>
      <c r="F26" t="s">
        <v>18</v>
      </c>
      <c r="G26">
        <v>10</v>
      </c>
      <c r="H26" s="3">
        <v>450</v>
      </c>
      <c r="I26" s="3">
        <v>4500</v>
      </c>
    </row>
    <row r="27" spans="1:9" x14ac:dyDescent="0.35">
      <c r="A27" t="s">
        <v>58</v>
      </c>
      <c r="B27" s="2">
        <v>45622</v>
      </c>
      <c r="C27" t="s">
        <v>30</v>
      </c>
      <c r="D27" t="s">
        <v>31</v>
      </c>
      <c r="E27" t="s">
        <v>47</v>
      </c>
      <c r="F27" t="s">
        <v>18</v>
      </c>
      <c r="G27">
        <v>6</v>
      </c>
      <c r="H27" s="3">
        <v>1200</v>
      </c>
      <c r="I27" s="3">
        <v>7200</v>
      </c>
    </row>
    <row r="28" spans="1:9" x14ac:dyDescent="0.35">
      <c r="A28" t="s">
        <v>59</v>
      </c>
      <c r="B28" s="2">
        <v>45523</v>
      </c>
      <c r="C28" t="s">
        <v>15</v>
      </c>
      <c r="D28" t="s">
        <v>16</v>
      </c>
      <c r="E28" t="s">
        <v>23</v>
      </c>
      <c r="F28" t="s">
        <v>24</v>
      </c>
      <c r="G28">
        <v>6</v>
      </c>
      <c r="H28" s="3">
        <v>120</v>
      </c>
      <c r="I28" s="3">
        <v>720</v>
      </c>
    </row>
    <row r="29" spans="1:9" x14ac:dyDescent="0.35">
      <c r="A29" t="s">
        <v>60</v>
      </c>
      <c r="B29" s="2">
        <v>45374</v>
      </c>
      <c r="C29" t="s">
        <v>15</v>
      </c>
      <c r="D29" t="s">
        <v>16</v>
      </c>
      <c r="E29" t="s">
        <v>23</v>
      </c>
      <c r="F29" t="s">
        <v>24</v>
      </c>
      <c r="G29">
        <v>4</v>
      </c>
      <c r="H29" s="3">
        <v>120</v>
      </c>
      <c r="I29" s="3">
        <v>480</v>
      </c>
    </row>
    <row r="30" spans="1:9" x14ac:dyDescent="0.35">
      <c r="A30" t="s">
        <v>61</v>
      </c>
      <c r="B30" s="2">
        <v>45334</v>
      </c>
      <c r="C30" t="s">
        <v>15</v>
      </c>
      <c r="D30" t="s">
        <v>22</v>
      </c>
      <c r="E30" t="s">
        <v>17</v>
      </c>
      <c r="F30" t="s">
        <v>18</v>
      </c>
      <c r="G30">
        <v>5</v>
      </c>
      <c r="H30" s="3">
        <v>800</v>
      </c>
      <c r="I30" s="3">
        <v>4000</v>
      </c>
    </row>
    <row r="31" spans="1:9" x14ac:dyDescent="0.35">
      <c r="A31" t="s">
        <v>62</v>
      </c>
      <c r="B31" s="2">
        <v>45335</v>
      </c>
      <c r="C31" t="s">
        <v>26</v>
      </c>
      <c r="D31" t="s">
        <v>27</v>
      </c>
      <c r="E31" t="s">
        <v>28</v>
      </c>
      <c r="F31" t="s">
        <v>18</v>
      </c>
      <c r="G31">
        <v>6</v>
      </c>
      <c r="H31" s="3">
        <v>450</v>
      </c>
      <c r="I31" s="3">
        <v>2700</v>
      </c>
    </row>
    <row r="32" spans="1:9" x14ac:dyDescent="0.35">
      <c r="A32" t="s">
        <v>63</v>
      </c>
      <c r="B32" s="2">
        <v>45303</v>
      </c>
      <c r="C32" t="s">
        <v>15</v>
      </c>
      <c r="D32" t="s">
        <v>22</v>
      </c>
      <c r="E32" t="s">
        <v>39</v>
      </c>
      <c r="F32" t="s">
        <v>24</v>
      </c>
      <c r="G32">
        <v>10</v>
      </c>
      <c r="H32" s="3">
        <v>45</v>
      </c>
      <c r="I32" s="3">
        <v>450</v>
      </c>
    </row>
    <row r="33" spans="1:9" x14ac:dyDescent="0.35">
      <c r="A33" t="s">
        <v>64</v>
      </c>
      <c r="B33" s="2">
        <v>45596</v>
      </c>
      <c r="C33" t="s">
        <v>15</v>
      </c>
      <c r="D33" t="s">
        <v>16</v>
      </c>
      <c r="E33" t="s">
        <v>17</v>
      </c>
      <c r="F33" t="s">
        <v>18</v>
      </c>
      <c r="G33">
        <v>2</v>
      </c>
      <c r="H33" s="3">
        <v>800</v>
      </c>
      <c r="I33" s="3">
        <v>1600</v>
      </c>
    </row>
    <row r="34" spans="1:9" x14ac:dyDescent="0.35">
      <c r="A34" t="s">
        <v>65</v>
      </c>
      <c r="B34" s="2">
        <v>45539</v>
      </c>
      <c r="C34" t="s">
        <v>10</v>
      </c>
      <c r="D34" t="s">
        <v>11</v>
      </c>
      <c r="E34" t="s">
        <v>49</v>
      </c>
      <c r="F34" t="s">
        <v>18</v>
      </c>
      <c r="G34">
        <v>8</v>
      </c>
      <c r="H34" s="3">
        <v>250</v>
      </c>
      <c r="I34" s="3">
        <v>2000</v>
      </c>
    </row>
    <row r="35" spans="1:9" x14ac:dyDescent="0.35">
      <c r="A35" t="s">
        <v>66</v>
      </c>
      <c r="B35" s="2">
        <v>45640</v>
      </c>
      <c r="C35" t="s">
        <v>30</v>
      </c>
      <c r="D35" t="s">
        <v>46</v>
      </c>
      <c r="E35" t="s">
        <v>47</v>
      </c>
      <c r="F35" t="s">
        <v>18</v>
      </c>
      <c r="G35">
        <v>5</v>
      </c>
      <c r="H35" s="3">
        <v>1200</v>
      </c>
      <c r="I35" s="3">
        <v>6000</v>
      </c>
    </row>
    <row r="36" spans="1:9" x14ac:dyDescent="0.35">
      <c r="A36" t="s">
        <v>67</v>
      </c>
      <c r="B36" s="2">
        <v>45314</v>
      </c>
      <c r="C36" t="s">
        <v>10</v>
      </c>
      <c r="D36" t="s">
        <v>11</v>
      </c>
      <c r="E36" t="s">
        <v>12</v>
      </c>
      <c r="F36" t="s">
        <v>13</v>
      </c>
      <c r="G36">
        <v>10</v>
      </c>
      <c r="H36" s="3">
        <v>350</v>
      </c>
      <c r="I36" s="3">
        <v>3500</v>
      </c>
    </row>
    <row r="37" spans="1:9" x14ac:dyDescent="0.35">
      <c r="A37" t="s">
        <v>68</v>
      </c>
      <c r="B37" s="2">
        <v>45639</v>
      </c>
      <c r="C37" t="s">
        <v>15</v>
      </c>
      <c r="D37" t="s">
        <v>16</v>
      </c>
      <c r="E37" t="s">
        <v>39</v>
      </c>
      <c r="F37" t="s">
        <v>24</v>
      </c>
      <c r="G37">
        <v>9</v>
      </c>
      <c r="H37" s="3">
        <v>45</v>
      </c>
      <c r="I37" s="3">
        <v>405</v>
      </c>
    </row>
    <row r="38" spans="1:9" x14ac:dyDescent="0.35">
      <c r="A38" t="s">
        <v>69</v>
      </c>
      <c r="B38" s="2">
        <v>45649</v>
      </c>
      <c r="C38" t="s">
        <v>26</v>
      </c>
      <c r="D38" t="s">
        <v>27</v>
      </c>
      <c r="E38" t="s">
        <v>39</v>
      </c>
      <c r="F38" t="s">
        <v>24</v>
      </c>
      <c r="G38">
        <v>7</v>
      </c>
      <c r="H38" s="3">
        <v>45</v>
      </c>
      <c r="I38" s="3">
        <v>315</v>
      </c>
    </row>
    <row r="39" spans="1:9" x14ac:dyDescent="0.35">
      <c r="A39" t="s">
        <v>70</v>
      </c>
      <c r="B39" s="2">
        <v>45357</v>
      </c>
      <c r="C39" t="s">
        <v>30</v>
      </c>
      <c r="D39" t="s">
        <v>46</v>
      </c>
      <c r="E39" t="s">
        <v>12</v>
      </c>
      <c r="F39" t="s">
        <v>13</v>
      </c>
      <c r="G39">
        <v>5</v>
      </c>
      <c r="H39" s="3">
        <v>350</v>
      </c>
      <c r="I39" s="3">
        <v>1750</v>
      </c>
    </row>
    <row r="40" spans="1:9" x14ac:dyDescent="0.35">
      <c r="A40" t="s">
        <v>71</v>
      </c>
      <c r="B40" s="2">
        <v>45474</v>
      </c>
      <c r="C40" t="s">
        <v>10</v>
      </c>
      <c r="D40" t="s">
        <v>11</v>
      </c>
      <c r="E40" t="s">
        <v>47</v>
      </c>
      <c r="F40" t="s">
        <v>18</v>
      </c>
      <c r="G40">
        <v>10</v>
      </c>
      <c r="H40" s="3">
        <v>1200</v>
      </c>
      <c r="I40" s="3">
        <v>12000</v>
      </c>
    </row>
    <row r="41" spans="1:9" x14ac:dyDescent="0.35">
      <c r="A41" t="s">
        <v>72</v>
      </c>
      <c r="B41" s="2">
        <v>45478</v>
      </c>
      <c r="C41" t="s">
        <v>10</v>
      </c>
      <c r="D41" t="s">
        <v>41</v>
      </c>
      <c r="E41" t="s">
        <v>47</v>
      </c>
      <c r="F41" t="s">
        <v>18</v>
      </c>
      <c r="G41">
        <v>6</v>
      </c>
      <c r="H41" s="3">
        <v>1200</v>
      </c>
      <c r="I41" s="3">
        <v>7200</v>
      </c>
    </row>
    <row r="42" spans="1:9" x14ac:dyDescent="0.35">
      <c r="A42" t="s">
        <v>73</v>
      </c>
      <c r="B42" s="2">
        <v>45382</v>
      </c>
      <c r="C42" t="s">
        <v>26</v>
      </c>
      <c r="D42" t="s">
        <v>34</v>
      </c>
      <c r="E42" t="s">
        <v>28</v>
      </c>
      <c r="F42" t="s">
        <v>18</v>
      </c>
      <c r="G42">
        <v>5</v>
      </c>
      <c r="H42" s="3">
        <v>450</v>
      </c>
      <c r="I42" s="3">
        <v>2250</v>
      </c>
    </row>
    <row r="43" spans="1:9" x14ac:dyDescent="0.35">
      <c r="A43" t="s">
        <v>74</v>
      </c>
      <c r="B43" s="2">
        <v>45471</v>
      </c>
      <c r="C43" t="s">
        <v>15</v>
      </c>
      <c r="D43" t="s">
        <v>22</v>
      </c>
      <c r="E43" t="s">
        <v>17</v>
      </c>
      <c r="F43" t="s">
        <v>18</v>
      </c>
      <c r="G43">
        <v>5</v>
      </c>
      <c r="H43" s="3">
        <v>800</v>
      </c>
      <c r="I43" s="3">
        <v>4000</v>
      </c>
    </row>
    <row r="44" spans="1:9" x14ac:dyDescent="0.35">
      <c r="A44" t="s">
        <v>75</v>
      </c>
      <c r="B44" s="2">
        <v>45429</v>
      </c>
      <c r="C44" t="s">
        <v>30</v>
      </c>
      <c r="D44" t="s">
        <v>46</v>
      </c>
      <c r="E44" t="s">
        <v>76</v>
      </c>
      <c r="F44" t="s">
        <v>24</v>
      </c>
      <c r="G44">
        <v>3</v>
      </c>
      <c r="H44" s="3">
        <v>75</v>
      </c>
      <c r="I44" s="3">
        <v>225</v>
      </c>
    </row>
    <row r="45" spans="1:9" x14ac:dyDescent="0.35">
      <c r="A45" t="s">
        <v>77</v>
      </c>
      <c r="B45" s="2">
        <v>45394</v>
      </c>
      <c r="C45" t="s">
        <v>10</v>
      </c>
      <c r="D45" t="s">
        <v>41</v>
      </c>
      <c r="E45" t="s">
        <v>39</v>
      </c>
      <c r="F45" t="s">
        <v>24</v>
      </c>
      <c r="G45">
        <v>6</v>
      </c>
      <c r="H45" s="3">
        <v>45</v>
      </c>
      <c r="I45" s="3">
        <v>270</v>
      </c>
    </row>
    <row r="46" spans="1:9" x14ac:dyDescent="0.35">
      <c r="A46" t="s">
        <v>78</v>
      </c>
      <c r="B46" s="2">
        <v>45537</v>
      </c>
      <c r="C46" t="s">
        <v>26</v>
      </c>
      <c r="D46" t="s">
        <v>27</v>
      </c>
      <c r="E46" t="s">
        <v>12</v>
      </c>
      <c r="F46" t="s">
        <v>13</v>
      </c>
      <c r="G46">
        <v>8</v>
      </c>
      <c r="H46" s="3">
        <v>350</v>
      </c>
      <c r="I46" s="3">
        <v>2800</v>
      </c>
    </row>
    <row r="47" spans="1:9" x14ac:dyDescent="0.35">
      <c r="A47" t="s">
        <v>79</v>
      </c>
      <c r="B47" s="2">
        <v>45374</v>
      </c>
      <c r="C47" t="s">
        <v>30</v>
      </c>
      <c r="D47" t="s">
        <v>46</v>
      </c>
      <c r="E47" t="s">
        <v>32</v>
      </c>
      <c r="F47" t="s">
        <v>13</v>
      </c>
      <c r="G47">
        <v>4</v>
      </c>
      <c r="H47" s="3">
        <v>500</v>
      </c>
      <c r="I47" s="3">
        <v>2000</v>
      </c>
    </row>
    <row r="48" spans="1:9" x14ac:dyDescent="0.35">
      <c r="A48" t="s">
        <v>80</v>
      </c>
      <c r="B48" s="2">
        <v>45431</v>
      </c>
      <c r="C48" t="s">
        <v>26</v>
      </c>
      <c r="D48" t="s">
        <v>27</v>
      </c>
      <c r="E48" t="s">
        <v>47</v>
      </c>
      <c r="F48" t="s">
        <v>18</v>
      </c>
      <c r="G48">
        <v>2</v>
      </c>
      <c r="H48" s="3">
        <v>1200</v>
      </c>
      <c r="I48" s="3">
        <v>2400</v>
      </c>
    </row>
    <row r="49" spans="1:9" x14ac:dyDescent="0.35">
      <c r="A49" t="s">
        <v>81</v>
      </c>
      <c r="B49" s="2">
        <v>45626</v>
      </c>
      <c r="C49" t="s">
        <v>15</v>
      </c>
      <c r="D49" t="s">
        <v>22</v>
      </c>
      <c r="E49" t="s">
        <v>28</v>
      </c>
      <c r="F49" t="s">
        <v>18</v>
      </c>
      <c r="G49">
        <v>7</v>
      </c>
      <c r="H49" s="3">
        <v>450</v>
      </c>
      <c r="I49" s="3">
        <v>3150</v>
      </c>
    </row>
    <row r="50" spans="1:9" x14ac:dyDescent="0.35">
      <c r="A50" t="s">
        <v>82</v>
      </c>
      <c r="B50" s="2">
        <v>45306</v>
      </c>
      <c r="C50" t="s">
        <v>26</v>
      </c>
      <c r="D50" t="s">
        <v>34</v>
      </c>
      <c r="E50" t="s">
        <v>47</v>
      </c>
      <c r="F50" t="s">
        <v>18</v>
      </c>
      <c r="G50">
        <v>9</v>
      </c>
      <c r="H50" s="3">
        <v>1200</v>
      </c>
      <c r="I50" s="3">
        <v>10800</v>
      </c>
    </row>
    <row r="51" spans="1:9" x14ac:dyDescent="0.35">
      <c r="A51" t="s">
        <v>83</v>
      </c>
      <c r="B51" s="2">
        <v>45324</v>
      </c>
      <c r="C51" t="s">
        <v>15</v>
      </c>
      <c r="D51" t="s">
        <v>22</v>
      </c>
      <c r="E51" t="s">
        <v>47</v>
      </c>
      <c r="F51" t="s">
        <v>18</v>
      </c>
      <c r="G51">
        <v>4</v>
      </c>
      <c r="H51" s="3">
        <v>1200</v>
      </c>
      <c r="I51" s="3">
        <v>4800</v>
      </c>
    </row>
    <row r="52" spans="1:9" x14ac:dyDescent="0.35">
      <c r="A52" t="s">
        <v>84</v>
      </c>
      <c r="B52" s="2">
        <v>45547</v>
      </c>
      <c r="C52" t="s">
        <v>30</v>
      </c>
      <c r="D52" t="s">
        <v>46</v>
      </c>
      <c r="E52" t="s">
        <v>76</v>
      </c>
      <c r="F52" t="s">
        <v>24</v>
      </c>
      <c r="G52">
        <v>1</v>
      </c>
      <c r="H52" s="3">
        <v>75</v>
      </c>
      <c r="I52" s="3">
        <v>75</v>
      </c>
    </row>
    <row r="53" spans="1:9" x14ac:dyDescent="0.35">
      <c r="A53" t="s">
        <v>85</v>
      </c>
      <c r="B53" s="2">
        <v>45640</v>
      </c>
      <c r="C53" t="s">
        <v>15</v>
      </c>
      <c r="D53" t="s">
        <v>16</v>
      </c>
      <c r="E53" t="s">
        <v>23</v>
      </c>
      <c r="F53" t="s">
        <v>24</v>
      </c>
      <c r="G53">
        <v>8</v>
      </c>
      <c r="H53" s="3">
        <v>120</v>
      </c>
      <c r="I53" s="3">
        <v>960</v>
      </c>
    </row>
    <row r="54" spans="1:9" x14ac:dyDescent="0.35">
      <c r="A54" t="s">
        <v>86</v>
      </c>
      <c r="B54" s="2">
        <v>45447</v>
      </c>
      <c r="C54" t="s">
        <v>30</v>
      </c>
      <c r="D54" t="s">
        <v>31</v>
      </c>
      <c r="E54" t="s">
        <v>20</v>
      </c>
      <c r="F54" t="s">
        <v>18</v>
      </c>
      <c r="G54">
        <v>2</v>
      </c>
      <c r="H54" s="3">
        <v>300</v>
      </c>
      <c r="I54" s="3">
        <v>600</v>
      </c>
    </row>
    <row r="55" spans="1:9" x14ac:dyDescent="0.35">
      <c r="A55" t="s">
        <v>87</v>
      </c>
      <c r="B55" s="2">
        <v>45363</v>
      </c>
      <c r="C55" t="s">
        <v>10</v>
      </c>
      <c r="D55" t="s">
        <v>11</v>
      </c>
      <c r="E55" t="s">
        <v>76</v>
      </c>
      <c r="F55" t="s">
        <v>24</v>
      </c>
      <c r="G55">
        <v>6</v>
      </c>
      <c r="H55" s="3">
        <v>75</v>
      </c>
      <c r="I55" s="3">
        <v>450</v>
      </c>
    </row>
    <row r="56" spans="1:9" x14ac:dyDescent="0.35">
      <c r="A56" t="s">
        <v>88</v>
      </c>
      <c r="B56" s="2">
        <v>45560</v>
      </c>
      <c r="C56" t="s">
        <v>30</v>
      </c>
      <c r="D56" t="s">
        <v>46</v>
      </c>
      <c r="E56" t="s">
        <v>23</v>
      </c>
      <c r="F56" t="s">
        <v>24</v>
      </c>
      <c r="G56">
        <v>10</v>
      </c>
      <c r="H56" s="3">
        <v>120</v>
      </c>
      <c r="I56" s="3">
        <v>1200</v>
      </c>
    </row>
    <row r="57" spans="1:9" x14ac:dyDescent="0.35">
      <c r="A57" t="s">
        <v>89</v>
      </c>
      <c r="B57" s="2">
        <v>45505</v>
      </c>
      <c r="C57" t="s">
        <v>15</v>
      </c>
      <c r="D57" t="s">
        <v>22</v>
      </c>
      <c r="E57" t="s">
        <v>17</v>
      </c>
      <c r="F57" t="s">
        <v>18</v>
      </c>
      <c r="G57">
        <v>6</v>
      </c>
      <c r="H57" s="3">
        <v>800</v>
      </c>
      <c r="I57" s="3">
        <v>4800</v>
      </c>
    </row>
    <row r="58" spans="1:9" x14ac:dyDescent="0.35">
      <c r="A58" t="s">
        <v>90</v>
      </c>
      <c r="B58" s="2">
        <v>45522</v>
      </c>
      <c r="C58" t="s">
        <v>26</v>
      </c>
      <c r="D58" t="s">
        <v>27</v>
      </c>
      <c r="E58" t="s">
        <v>12</v>
      </c>
      <c r="F58" t="s">
        <v>13</v>
      </c>
      <c r="G58">
        <v>8</v>
      </c>
      <c r="H58" s="3">
        <v>350</v>
      </c>
      <c r="I58" s="3">
        <v>2800</v>
      </c>
    </row>
    <row r="59" spans="1:9" x14ac:dyDescent="0.35">
      <c r="A59" t="s">
        <v>91</v>
      </c>
      <c r="B59" s="2">
        <v>45455</v>
      </c>
      <c r="C59" t="s">
        <v>15</v>
      </c>
      <c r="D59" t="s">
        <v>16</v>
      </c>
      <c r="E59" t="s">
        <v>76</v>
      </c>
      <c r="F59" t="s">
        <v>24</v>
      </c>
      <c r="G59">
        <v>10</v>
      </c>
      <c r="H59" s="3">
        <v>75</v>
      </c>
      <c r="I59" s="3">
        <v>750</v>
      </c>
    </row>
    <row r="60" spans="1:9" x14ac:dyDescent="0.35">
      <c r="A60" t="s">
        <v>92</v>
      </c>
      <c r="B60" s="2">
        <v>45482</v>
      </c>
      <c r="C60" t="s">
        <v>26</v>
      </c>
      <c r="D60" t="s">
        <v>34</v>
      </c>
      <c r="E60" t="s">
        <v>12</v>
      </c>
      <c r="F60" t="s">
        <v>13</v>
      </c>
      <c r="G60">
        <v>7</v>
      </c>
      <c r="H60" s="3">
        <v>350</v>
      </c>
      <c r="I60" s="3">
        <v>2450</v>
      </c>
    </row>
    <row r="61" spans="1:9" x14ac:dyDescent="0.35">
      <c r="A61" t="s">
        <v>93</v>
      </c>
      <c r="B61" s="2">
        <v>45334</v>
      </c>
      <c r="C61" t="s">
        <v>26</v>
      </c>
      <c r="D61" t="s">
        <v>34</v>
      </c>
      <c r="E61" t="s">
        <v>76</v>
      </c>
      <c r="F61" t="s">
        <v>24</v>
      </c>
      <c r="G61">
        <v>1</v>
      </c>
      <c r="H61" s="3">
        <v>75</v>
      </c>
      <c r="I61" s="3">
        <v>75</v>
      </c>
    </row>
    <row r="62" spans="1:9" x14ac:dyDescent="0.35">
      <c r="A62" t="s">
        <v>94</v>
      </c>
      <c r="B62" s="2">
        <v>45562</v>
      </c>
      <c r="C62" t="s">
        <v>15</v>
      </c>
      <c r="D62" t="s">
        <v>22</v>
      </c>
      <c r="E62" t="s">
        <v>12</v>
      </c>
      <c r="F62" t="s">
        <v>13</v>
      </c>
      <c r="G62">
        <v>10</v>
      </c>
      <c r="H62" s="3">
        <v>350</v>
      </c>
      <c r="I62" s="3">
        <v>3500</v>
      </c>
    </row>
    <row r="63" spans="1:9" x14ac:dyDescent="0.35">
      <c r="A63" t="s">
        <v>95</v>
      </c>
      <c r="B63" s="2">
        <v>45455</v>
      </c>
      <c r="C63" t="s">
        <v>15</v>
      </c>
      <c r="D63" t="s">
        <v>16</v>
      </c>
      <c r="E63" t="s">
        <v>49</v>
      </c>
      <c r="F63" t="s">
        <v>18</v>
      </c>
      <c r="G63">
        <v>2</v>
      </c>
      <c r="H63" s="3">
        <v>250</v>
      </c>
      <c r="I63" s="3">
        <v>500</v>
      </c>
    </row>
    <row r="64" spans="1:9" x14ac:dyDescent="0.35">
      <c r="A64" t="s">
        <v>96</v>
      </c>
      <c r="B64" s="2">
        <v>45423</v>
      </c>
      <c r="C64" t="s">
        <v>15</v>
      </c>
      <c r="D64" t="s">
        <v>16</v>
      </c>
      <c r="E64" t="s">
        <v>17</v>
      </c>
      <c r="F64" t="s">
        <v>18</v>
      </c>
      <c r="G64">
        <v>1</v>
      </c>
      <c r="H64" s="3">
        <v>800</v>
      </c>
      <c r="I64" s="3">
        <v>800</v>
      </c>
    </row>
    <row r="65" spans="1:9" x14ac:dyDescent="0.35">
      <c r="A65" t="s">
        <v>97</v>
      </c>
      <c r="B65" s="2">
        <v>45471</v>
      </c>
      <c r="C65" t="s">
        <v>15</v>
      </c>
      <c r="D65" t="s">
        <v>22</v>
      </c>
      <c r="E65" t="s">
        <v>20</v>
      </c>
      <c r="F65" t="s">
        <v>18</v>
      </c>
      <c r="G65">
        <v>2</v>
      </c>
      <c r="H65" s="3">
        <v>300</v>
      </c>
      <c r="I65" s="3">
        <v>600</v>
      </c>
    </row>
    <row r="66" spans="1:9" x14ac:dyDescent="0.35">
      <c r="A66" t="s">
        <v>98</v>
      </c>
      <c r="B66" s="2">
        <v>45401</v>
      </c>
      <c r="C66" t="s">
        <v>30</v>
      </c>
      <c r="D66" t="s">
        <v>31</v>
      </c>
      <c r="E66" t="s">
        <v>28</v>
      </c>
      <c r="F66" t="s">
        <v>18</v>
      </c>
      <c r="G66">
        <v>9</v>
      </c>
      <c r="H66" s="3">
        <v>450</v>
      </c>
      <c r="I66" s="3">
        <v>4050</v>
      </c>
    </row>
    <row r="67" spans="1:9" x14ac:dyDescent="0.35">
      <c r="A67" t="s">
        <v>99</v>
      </c>
      <c r="B67" s="2">
        <v>45617</v>
      </c>
      <c r="C67" t="s">
        <v>15</v>
      </c>
      <c r="D67" t="s">
        <v>22</v>
      </c>
      <c r="E67" t="s">
        <v>47</v>
      </c>
      <c r="F67" t="s">
        <v>18</v>
      </c>
      <c r="G67">
        <v>4</v>
      </c>
      <c r="H67" s="3">
        <v>1200</v>
      </c>
      <c r="I67" s="3">
        <v>4800</v>
      </c>
    </row>
    <row r="68" spans="1:9" x14ac:dyDescent="0.35">
      <c r="A68" t="s">
        <v>100</v>
      </c>
      <c r="B68" s="2">
        <v>45297</v>
      </c>
      <c r="C68" t="s">
        <v>10</v>
      </c>
      <c r="D68" t="s">
        <v>41</v>
      </c>
      <c r="E68" t="s">
        <v>39</v>
      </c>
      <c r="F68" t="s">
        <v>24</v>
      </c>
      <c r="G68">
        <v>1</v>
      </c>
      <c r="H68" s="3">
        <v>45</v>
      </c>
      <c r="I68" s="3">
        <v>45</v>
      </c>
    </row>
    <row r="69" spans="1:9" x14ac:dyDescent="0.35">
      <c r="A69" t="s">
        <v>101</v>
      </c>
      <c r="B69" s="2">
        <v>45554</v>
      </c>
      <c r="C69" t="s">
        <v>15</v>
      </c>
      <c r="D69" t="s">
        <v>22</v>
      </c>
      <c r="E69" t="s">
        <v>49</v>
      </c>
      <c r="F69" t="s">
        <v>18</v>
      </c>
      <c r="G69">
        <v>2</v>
      </c>
      <c r="H69" s="3">
        <v>250</v>
      </c>
      <c r="I69" s="3">
        <v>500</v>
      </c>
    </row>
    <row r="70" spans="1:9" x14ac:dyDescent="0.35">
      <c r="A70" t="s">
        <v>102</v>
      </c>
      <c r="B70" s="2">
        <v>45347</v>
      </c>
      <c r="C70" t="s">
        <v>30</v>
      </c>
      <c r="D70" t="s">
        <v>46</v>
      </c>
      <c r="E70" t="s">
        <v>20</v>
      </c>
      <c r="F70" t="s">
        <v>18</v>
      </c>
      <c r="G70">
        <v>9</v>
      </c>
      <c r="H70" s="3">
        <v>300</v>
      </c>
      <c r="I70" s="3">
        <v>2700</v>
      </c>
    </row>
    <row r="71" spans="1:9" x14ac:dyDescent="0.35">
      <c r="A71" t="s">
        <v>103</v>
      </c>
      <c r="B71" s="2">
        <v>45653</v>
      </c>
      <c r="C71" t="s">
        <v>15</v>
      </c>
      <c r="D71" t="s">
        <v>16</v>
      </c>
      <c r="E71" t="s">
        <v>32</v>
      </c>
      <c r="F71" t="s">
        <v>13</v>
      </c>
      <c r="G71">
        <v>9</v>
      </c>
      <c r="H71" s="3">
        <v>500</v>
      </c>
      <c r="I71" s="3">
        <v>4500</v>
      </c>
    </row>
    <row r="72" spans="1:9" x14ac:dyDescent="0.35">
      <c r="A72" t="s">
        <v>104</v>
      </c>
      <c r="B72" s="2">
        <v>45407</v>
      </c>
      <c r="C72" t="s">
        <v>26</v>
      </c>
      <c r="D72" t="s">
        <v>34</v>
      </c>
      <c r="E72" t="s">
        <v>17</v>
      </c>
      <c r="F72" t="s">
        <v>18</v>
      </c>
      <c r="G72">
        <v>7</v>
      </c>
      <c r="H72" s="3">
        <v>800</v>
      </c>
      <c r="I72" s="3">
        <v>5600</v>
      </c>
    </row>
    <row r="73" spans="1:9" x14ac:dyDescent="0.35">
      <c r="A73" t="s">
        <v>105</v>
      </c>
      <c r="B73" s="2">
        <v>45499</v>
      </c>
      <c r="C73" t="s">
        <v>26</v>
      </c>
      <c r="D73" t="s">
        <v>34</v>
      </c>
      <c r="E73" t="s">
        <v>12</v>
      </c>
      <c r="F73" t="s">
        <v>13</v>
      </c>
      <c r="G73">
        <v>10</v>
      </c>
      <c r="H73" s="3">
        <v>350</v>
      </c>
      <c r="I73" s="3">
        <v>3500</v>
      </c>
    </row>
    <row r="74" spans="1:9" x14ac:dyDescent="0.35">
      <c r="A74" t="s">
        <v>106</v>
      </c>
      <c r="B74" s="2">
        <v>45590</v>
      </c>
      <c r="C74" t="s">
        <v>10</v>
      </c>
      <c r="D74" t="s">
        <v>11</v>
      </c>
      <c r="E74" t="s">
        <v>17</v>
      </c>
      <c r="F74" t="s">
        <v>18</v>
      </c>
      <c r="G74">
        <v>1</v>
      </c>
      <c r="H74" s="3">
        <v>800</v>
      </c>
      <c r="I74" s="3">
        <v>800</v>
      </c>
    </row>
    <row r="75" spans="1:9" x14ac:dyDescent="0.35">
      <c r="A75" t="s">
        <v>107</v>
      </c>
      <c r="B75" s="2">
        <v>45394</v>
      </c>
      <c r="C75" t="s">
        <v>30</v>
      </c>
      <c r="D75" t="s">
        <v>46</v>
      </c>
      <c r="E75" t="s">
        <v>32</v>
      </c>
      <c r="F75" t="s">
        <v>13</v>
      </c>
      <c r="G75">
        <v>10</v>
      </c>
      <c r="H75" s="3">
        <v>500</v>
      </c>
      <c r="I75" s="3">
        <v>5000</v>
      </c>
    </row>
    <row r="76" spans="1:9" x14ac:dyDescent="0.35">
      <c r="A76" t="s">
        <v>108</v>
      </c>
      <c r="B76" s="2">
        <v>45446</v>
      </c>
      <c r="C76" t="s">
        <v>15</v>
      </c>
      <c r="D76" t="s">
        <v>22</v>
      </c>
      <c r="E76" t="s">
        <v>76</v>
      </c>
      <c r="F76" t="s">
        <v>24</v>
      </c>
      <c r="G76">
        <v>8</v>
      </c>
      <c r="H76" s="3">
        <v>75</v>
      </c>
      <c r="I76" s="3">
        <v>600</v>
      </c>
    </row>
    <row r="77" spans="1:9" x14ac:dyDescent="0.35">
      <c r="A77" t="s">
        <v>109</v>
      </c>
      <c r="B77" s="2">
        <v>45368</v>
      </c>
      <c r="C77" t="s">
        <v>26</v>
      </c>
      <c r="D77" t="s">
        <v>27</v>
      </c>
      <c r="E77" t="s">
        <v>28</v>
      </c>
      <c r="F77" t="s">
        <v>18</v>
      </c>
      <c r="G77">
        <v>8</v>
      </c>
      <c r="H77" s="3">
        <v>450</v>
      </c>
      <c r="I77" s="3">
        <v>3600</v>
      </c>
    </row>
    <row r="78" spans="1:9" x14ac:dyDescent="0.35">
      <c r="A78" t="s">
        <v>110</v>
      </c>
      <c r="B78" s="2">
        <v>45644</v>
      </c>
      <c r="C78" t="s">
        <v>26</v>
      </c>
      <c r="D78" t="s">
        <v>34</v>
      </c>
      <c r="E78" t="s">
        <v>20</v>
      </c>
      <c r="F78" t="s">
        <v>18</v>
      </c>
      <c r="G78">
        <v>2</v>
      </c>
      <c r="H78" s="3">
        <v>300</v>
      </c>
      <c r="I78" s="3">
        <v>600</v>
      </c>
    </row>
    <row r="79" spans="1:9" x14ac:dyDescent="0.35">
      <c r="A79" t="s">
        <v>111</v>
      </c>
      <c r="B79" s="2">
        <v>45385</v>
      </c>
      <c r="C79" t="s">
        <v>30</v>
      </c>
      <c r="D79" t="s">
        <v>46</v>
      </c>
      <c r="E79" t="s">
        <v>17</v>
      </c>
      <c r="F79" t="s">
        <v>18</v>
      </c>
      <c r="G79">
        <v>10</v>
      </c>
      <c r="H79" s="3">
        <v>800</v>
      </c>
      <c r="I79" s="3">
        <v>8000</v>
      </c>
    </row>
    <row r="80" spans="1:9" x14ac:dyDescent="0.35">
      <c r="A80" t="s">
        <v>112</v>
      </c>
      <c r="B80" s="2">
        <v>45571</v>
      </c>
      <c r="C80" t="s">
        <v>30</v>
      </c>
      <c r="D80" t="s">
        <v>31</v>
      </c>
      <c r="E80" t="s">
        <v>47</v>
      </c>
      <c r="F80" t="s">
        <v>18</v>
      </c>
      <c r="G80">
        <v>3</v>
      </c>
      <c r="H80" s="3">
        <v>1200</v>
      </c>
      <c r="I80" s="3">
        <v>3600</v>
      </c>
    </row>
    <row r="81" spans="1:9" x14ac:dyDescent="0.35">
      <c r="A81" t="s">
        <v>113</v>
      </c>
      <c r="B81" s="2">
        <v>45628</v>
      </c>
      <c r="C81" t="s">
        <v>15</v>
      </c>
      <c r="D81" t="s">
        <v>22</v>
      </c>
      <c r="E81" t="s">
        <v>76</v>
      </c>
      <c r="F81" t="s">
        <v>24</v>
      </c>
      <c r="G81">
        <v>4</v>
      </c>
      <c r="H81" s="3">
        <v>75</v>
      </c>
      <c r="I81" s="3">
        <v>300</v>
      </c>
    </row>
    <row r="82" spans="1:9" x14ac:dyDescent="0.35">
      <c r="A82" t="s">
        <v>114</v>
      </c>
      <c r="B82" s="2">
        <v>45528</v>
      </c>
      <c r="C82" t="s">
        <v>26</v>
      </c>
      <c r="D82" t="s">
        <v>27</v>
      </c>
      <c r="E82" t="s">
        <v>23</v>
      </c>
      <c r="F82" t="s">
        <v>24</v>
      </c>
      <c r="G82">
        <v>3</v>
      </c>
      <c r="H82" s="3">
        <v>120</v>
      </c>
      <c r="I82" s="3">
        <v>360</v>
      </c>
    </row>
    <row r="83" spans="1:9" x14ac:dyDescent="0.35">
      <c r="A83" t="s">
        <v>115</v>
      </c>
      <c r="B83" s="2">
        <v>45581</v>
      </c>
      <c r="C83" t="s">
        <v>26</v>
      </c>
      <c r="D83" t="s">
        <v>27</v>
      </c>
      <c r="E83" t="s">
        <v>17</v>
      </c>
      <c r="F83" t="s">
        <v>18</v>
      </c>
      <c r="G83">
        <v>7</v>
      </c>
      <c r="H83" s="3">
        <v>800</v>
      </c>
      <c r="I83" s="3">
        <v>5600</v>
      </c>
    </row>
    <row r="84" spans="1:9" x14ac:dyDescent="0.35">
      <c r="A84" t="s">
        <v>116</v>
      </c>
      <c r="B84" s="2">
        <v>45372</v>
      </c>
      <c r="C84" t="s">
        <v>15</v>
      </c>
      <c r="D84" t="s">
        <v>16</v>
      </c>
      <c r="E84" t="s">
        <v>28</v>
      </c>
      <c r="F84" t="s">
        <v>18</v>
      </c>
      <c r="G84">
        <v>3</v>
      </c>
      <c r="H84" s="3">
        <v>450</v>
      </c>
      <c r="I84" s="3">
        <v>1350</v>
      </c>
    </row>
    <row r="85" spans="1:9" x14ac:dyDescent="0.35">
      <c r="A85" t="s">
        <v>117</v>
      </c>
      <c r="B85" s="2">
        <v>45595</v>
      </c>
      <c r="C85" t="s">
        <v>26</v>
      </c>
      <c r="D85" t="s">
        <v>27</v>
      </c>
      <c r="E85" t="s">
        <v>23</v>
      </c>
      <c r="F85" t="s">
        <v>24</v>
      </c>
      <c r="G85">
        <v>1</v>
      </c>
      <c r="H85" s="3">
        <v>120</v>
      </c>
      <c r="I85" s="3">
        <v>120</v>
      </c>
    </row>
    <row r="86" spans="1:9" x14ac:dyDescent="0.35">
      <c r="A86" t="s">
        <v>118</v>
      </c>
      <c r="B86" s="2">
        <v>45383</v>
      </c>
      <c r="C86" t="s">
        <v>10</v>
      </c>
      <c r="D86" t="s">
        <v>41</v>
      </c>
      <c r="E86" t="s">
        <v>12</v>
      </c>
      <c r="F86" t="s">
        <v>13</v>
      </c>
      <c r="G86">
        <v>6</v>
      </c>
      <c r="H86" s="3">
        <v>350</v>
      </c>
      <c r="I86" s="3">
        <v>2100</v>
      </c>
    </row>
    <row r="87" spans="1:9" x14ac:dyDescent="0.35">
      <c r="A87" t="s">
        <v>119</v>
      </c>
      <c r="B87" s="2">
        <v>45643</v>
      </c>
      <c r="C87" t="s">
        <v>30</v>
      </c>
      <c r="D87" t="s">
        <v>46</v>
      </c>
      <c r="E87" t="s">
        <v>12</v>
      </c>
      <c r="F87" t="s">
        <v>13</v>
      </c>
      <c r="G87">
        <v>4</v>
      </c>
      <c r="H87" s="3">
        <v>350</v>
      </c>
      <c r="I87" s="3">
        <v>1400</v>
      </c>
    </row>
    <row r="88" spans="1:9" x14ac:dyDescent="0.35">
      <c r="A88" t="s">
        <v>120</v>
      </c>
      <c r="B88" s="2">
        <v>45407</v>
      </c>
      <c r="C88" t="s">
        <v>15</v>
      </c>
      <c r="D88" t="s">
        <v>16</v>
      </c>
      <c r="E88" t="s">
        <v>28</v>
      </c>
      <c r="F88" t="s">
        <v>18</v>
      </c>
      <c r="G88">
        <v>8</v>
      </c>
      <c r="H88" s="3">
        <v>450</v>
      </c>
      <c r="I88" s="3">
        <v>3600</v>
      </c>
    </row>
    <row r="89" spans="1:9" x14ac:dyDescent="0.35">
      <c r="A89" t="s">
        <v>121</v>
      </c>
      <c r="B89" s="2">
        <v>45602</v>
      </c>
      <c r="C89" t="s">
        <v>26</v>
      </c>
      <c r="D89" t="s">
        <v>27</v>
      </c>
      <c r="E89" t="s">
        <v>23</v>
      </c>
      <c r="F89" t="s">
        <v>24</v>
      </c>
      <c r="G89">
        <v>5</v>
      </c>
      <c r="H89" s="3">
        <v>120</v>
      </c>
      <c r="I89" s="3">
        <v>600</v>
      </c>
    </row>
    <row r="90" spans="1:9" x14ac:dyDescent="0.35">
      <c r="A90" t="s">
        <v>122</v>
      </c>
      <c r="B90" s="2">
        <v>45449</v>
      </c>
      <c r="C90" t="s">
        <v>30</v>
      </c>
      <c r="D90" t="s">
        <v>46</v>
      </c>
      <c r="E90" t="s">
        <v>39</v>
      </c>
      <c r="F90" t="s">
        <v>24</v>
      </c>
      <c r="G90">
        <v>4</v>
      </c>
      <c r="H90" s="3">
        <v>45</v>
      </c>
      <c r="I90" s="3">
        <v>180</v>
      </c>
    </row>
    <row r="91" spans="1:9" x14ac:dyDescent="0.35">
      <c r="A91" t="s">
        <v>123</v>
      </c>
      <c r="B91" s="2">
        <v>45350</v>
      </c>
      <c r="C91" t="s">
        <v>15</v>
      </c>
      <c r="D91" t="s">
        <v>22</v>
      </c>
      <c r="E91" t="s">
        <v>28</v>
      </c>
      <c r="F91" t="s">
        <v>18</v>
      </c>
      <c r="G91">
        <v>3</v>
      </c>
      <c r="H91" s="3">
        <v>450</v>
      </c>
      <c r="I91" s="3">
        <v>1350</v>
      </c>
    </row>
    <row r="92" spans="1:9" x14ac:dyDescent="0.35">
      <c r="A92" t="s">
        <v>124</v>
      </c>
      <c r="B92" s="2">
        <v>45318</v>
      </c>
      <c r="C92" t="s">
        <v>10</v>
      </c>
      <c r="D92" t="s">
        <v>11</v>
      </c>
      <c r="E92" t="s">
        <v>49</v>
      </c>
      <c r="F92" t="s">
        <v>18</v>
      </c>
      <c r="G92">
        <v>7</v>
      </c>
      <c r="H92" s="3">
        <v>250</v>
      </c>
      <c r="I92" s="3">
        <v>1750</v>
      </c>
    </row>
    <row r="93" spans="1:9" x14ac:dyDescent="0.35">
      <c r="A93" t="s">
        <v>125</v>
      </c>
      <c r="B93" s="2">
        <v>45346</v>
      </c>
      <c r="C93" t="s">
        <v>30</v>
      </c>
      <c r="D93" t="s">
        <v>46</v>
      </c>
      <c r="E93" t="s">
        <v>12</v>
      </c>
      <c r="F93" t="s">
        <v>13</v>
      </c>
      <c r="G93">
        <v>9</v>
      </c>
      <c r="H93" s="3">
        <v>350</v>
      </c>
      <c r="I93" s="3">
        <v>3150</v>
      </c>
    </row>
    <row r="94" spans="1:9" x14ac:dyDescent="0.35">
      <c r="A94" t="s">
        <v>126</v>
      </c>
      <c r="B94" s="2">
        <v>45632</v>
      </c>
      <c r="C94" t="s">
        <v>30</v>
      </c>
      <c r="D94" t="s">
        <v>31</v>
      </c>
      <c r="E94" t="s">
        <v>12</v>
      </c>
      <c r="F94" t="s">
        <v>13</v>
      </c>
      <c r="G94">
        <v>1</v>
      </c>
      <c r="H94" s="3">
        <v>350</v>
      </c>
      <c r="I94" s="3">
        <v>350</v>
      </c>
    </row>
    <row r="95" spans="1:9" x14ac:dyDescent="0.35">
      <c r="A95" t="s">
        <v>127</v>
      </c>
      <c r="B95" s="2">
        <v>45345</v>
      </c>
      <c r="C95" t="s">
        <v>30</v>
      </c>
      <c r="D95" t="s">
        <v>46</v>
      </c>
      <c r="E95" t="s">
        <v>76</v>
      </c>
      <c r="F95" t="s">
        <v>24</v>
      </c>
      <c r="G95">
        <v>1</v>
      </c>
      <c r="H95" s="3">
        <v>75</v>
      </c>
      <c r="I95" s="3">
        <v>75</v>
      </c>
    </row>
    <row r="96" spans="1:9" x14ac:dyDescent="0.35">
      <c r="A96" t="s">
        <v>128</v>
      </c>
      <c r="B96" s="2">
        <v>45337</v>
      </c>
      <c r="C96" t="s">
        <v>30</v>
      </c>
      <c r="D96" t="s">
        <v>46</v>
      </c>
      <c r="E96" t="s">
        <v>17</v>
      </c>
      <c r="F96" t="s">
        <v>18</v>
      </c>
      <c r="G96">
        <v>5</v>
      </c>
      <c r="H96" s="3">
        <v>800</v>
      </c>
      <c r="I96" s="3">
        <v>4000</v>
      </c>
    </row>
    <row r="97" spans="1:9" x14ac:dyDescent="0.35">
      <c r="A97" t="s">
        <v>129</v>
      </c>
      <c r="B97" s="2">
        <v>45579</v>
      </c>
      <c r="C97" t="s">
        <v>15</v>
      </c>
      <c r="D97" t="s">
        <v>22</v>
      </c>
      <c r="E97" t="s">
        <v>12</v>
      </c>
      <c r="F97" t="s">
        <v>13</v>
      </c>
      <c r="G97">
        <v>5</v>
      </c>
      <c r="H97" s="3">
        <v>350</v>
      </c>
      <c r="I97" s="3">
        <v>1750</v>
      </c>
    </row>
    <row r="98" spans="1:9" x14ac:dyDescent="0.35">
      <c r="A98" t="s">
        <v>130</v>
      </c>
      <c r="B98" s="2">
        <v>45543</v>
      </c>
      <c r="C98" t="s">
        <v>26</v>
      </c>
      <c r="D98" t="s">
        <v>27</v>
      </c>
      <c r="E98" t="s">
        <v>23</v>
      </c>
      <c r="F98" t="s">
        <v>24</v>
      </c>
      <c r="G98">
        <v>10</v>
      </c>
      <c r="H98" s="3">
        <v>120</v>
      </c>
      <c r="I98" s="3">
        <v>1200</v>
      </c>
    </row>
    <row r="99" spans="1:9" x14ac:dyDescent="0.35">
      <c r="A99" t="s">
        <v>131</v>
      </c>
      <c r="B99" s="2">
        <v>45634</v>
      </c>
      <c r="C99" t="s">
        <v>30</v>
      </c>
      <c r="D99" t="s">
        <v>31</v>
      </c>
      <c r="E99" t="s">
        <v>32</v>
      </c>
      <c r="F99" t="s">
        <v>13</v>
      </c>
      <c r="G99">
        <v>1</v>
      </c>
      <c r="H99" s="3">
        <v>500</v>
      </c>
      <c r="I99" s="3">
        <v>500</v>
      </c>
    </row>
    <row r="100" spans="1:9" x14ac:dyDescent="0.35">
      <c r="A100" t="s">
        <v>132</v>
      </c>
      <c r="B100" s="2">
        <v>45419</v>
      </c>
      <c r="C100" t="s">
        <v>10</v>
      </c>
      <c r="D100" t="s">
        <v>11</v>
      </c>
      <c r="E100" t="s">
        <v>12</v>
      </c>
      <c r="F100" t="s">
        <v>13</v>
      </c>
      <c r="G100">
        <v>10</v>
      </c>
      <c r="H100" s="3">
        <v>350</v>
      </c>
      <c r="I100" s="3">
        <v>3500</v>
      </c>
    </row>
    <row r="101" spans="1:9" x14ac:dyDescent="0.35">
      <c r="A101" t="s">
        <v>133</v>
      </c>
      <c r="B101" s="2">
        <v>45389</v>
      </c>
      <c r="C101" t="s">
        <v>15</v>
      </c>
      <c r="D101" t="s">
        <v>16</v>
      </c>
      <c r="E101" t="s">
        <v>32</v>
      </c>
      <c r="F101" t="s">
        <v>13</v>
      </c>
      <c r="G101">
        <v>8</v>
      </c>
      <c r="H101" s="3">
        <v>500</v>
      </c>
      <c r="I101" s="3">
        <v>4000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9897-501A-42FB-8A1C-F39605721E8C}">
  <dimension ref="A1:BU17"/>
  <sheetViews>
    <sheetView tabSelected="1" topLeftCell="BK1" zoomScale="81" zoomScaleNormal="81" workbookViewId="0">
      <selection activeCell="BP23" sqref="BP23"/>
    </sheetView>
  </sheetViews>
  <sheetFormatPr defaultRowHeight="14.5" x14ac:dyDescent="0.35"/>
  <cols>
    <col min="1" max="1" width="12.453125" style="4" bestFit="1" customWidth="1"/>
    <col min="2" max="2" width="18.90625" style="4" bestFit="1" customWidth="1"/>
    <col min="3" max="3" width="10.1796875" style="4" bestFit="1" customWidth="1"/>
    <col min="4" max="4" width="8.90625" style="4" bestFit="1" customWidth="1"/>
    <col min="5" max="5" width="10.36328125" style="4" bestFit="1" customWidth="1"/>
    <col min="6" max="6" width="18.90625" style="4" bestFit="1" customWidth="1"/>
    <col min="7" max="7" width="15.6328125" style="4" bestFit="1" customWidth="1"/>
    <col min="8" max="8" width="10.1796875" style="4" bestFit="1" customWidth="1"/>
    <col min="9" max="9" width="8.54296875" style="4" bestFit="1" customWidth="1"/>
    <col min="10" max="10" width="10.36328125" style="4" bestFit="1" customWidth="1"/>
    <col min="11" max="13" width="8.7265625" style="4"/>
    <col min="14" max="14" width="12.453125" style="4" bestFit="1" customWidth="1"/>
    <col min="15" max="15" width="14.26953125" style="4" bestFit="1" customWidth="1"/>
    <col min="16" max="19" width="8.7265625" style="4"/>
    <col min="20" max="20" width="14.6328125" style="4" bestFit="1" customWidth="1"/>
    <col min="21" max="21" width="10.453125" style="4" bestFit="1" customWidth="1"/>
    <col min="22" max="22" width="14.26953125" style="4" bestFit="1" customWidth="1"/>
    <col min="23" max="27" width="8.7265625" style="4"/>
    <col min="28" max="28" width="12.453125" style="4" bestFit="1" customWidth="1"/>
    <col min="29" max="29" width="16.08984375" style="4" bestFit="1" customWidth="1"/>
    <col min="30" max="31" width="8.7265625" style="4"/>
    <col min="32" max="32" width="12.453125" style="4" bestFit="1" customWidth="1"/>
    <col min="33" max="33" width="16.08984375" style="4" bestFit="1" customWidth="1"/>
    <col min="34" max="38" width="8.7265625" style="4"/>
    <col min="39" max="39" width="12.36328125" style="4" bestFit="1" customWidth="1"/>
    <col min="40" max="40" width="7" style="4" bestFit="1" customWidth="1"/>
    <col min="41" max="42" width="14.26953125" style="4" bestFit="1" customWidth="1"/>
    <col min="43" max="43" width="12.54296875" style="4" bestFit="1" customWidth="1"/>
    <col min="44" max="44" width="14.26953125" style="4" bestFit="1" customWidth="1"/>
    <col min="45" max="48" width="8.7265625" style="4"/>
    <col min="49" max="49" width="12.54296875" style="4" bestFit="1" customWidth="1"/>
    <col min="50" max="50" width="14.26953125" style="4" bestFit="1" customWidth="1"/>
    <col min="51" max="60" width="8.7265625" style="4"/>
    <col min="61" max="61" width="12.453125" style="4" bestFit="1" customWidth="1"/>
    <col min="62" max="62" width="16.08984375" style="4" bestFit="1" customWidth="1"/>
    <col min="63" max="66" width="8.7265625" style="4"/>
    <col min="67" max="67" width="12.453125" style="4" bestFit="1" customWidth="1"/>
    <col min="68" max="68" width="16.08984375" style="4" bestFit="1" customWidth="1"/>
    <col min="69" max="71" width="8.7265625" style="4"/>
    <col min="72" max="72" width="13.1796875" style="4" bestFit="1" customWidth="1"/>
    <col min="73" max="73" width="16.26953125" style="4" bestFit="1" customWidth="1"/>
    <col min="74" max="16384" width="8.7265625" style="4"/>
  </cols>
  <sheetData>
    <row r="1" spans="1:73" x14ac:dyDescent="0.35">
      <c r="A1" s="4" t="s">
        <v>5</v>
      </c>
      <c r="B1" s="4" t="s">
        <v>137</v>
      </c>
      <c r="F1" s="4" t="s">
        <v>136</v>
      </c>
      <c r="G1" s="4" t="s">
        <v>138</v>
      </c>
      <c r="N1" s="4" t="s">
        <v>134</v>
      </c>
      <c r="O1" s="4" t="s">
        <v>139</v>
      </c>
      <c r="T1" s="4" t="s">
        <v>3</v>
      </c>
      <c r="U1" s="4" t="s">
        <v>5</v>
      </c>
      <c r="V1" s="4" t="s">
        <v>139</v>
      </c>
      <c r="AB1" s="4" t="s">
        <v>134</v>
      </c>
      <c r="AC1" s="4" t="s">
        <v>140</v>
      </c>
      <c r="AM1" s="4" t="s">
        <v>3</v>
      </c>
      <c r="AN1" s="4" t="s">
        <v>1</v>
      </c>
      <c r="AO1" s="4" t="s">
        <v>139</v>
      </c>
      <c r="AW1" s="4" t="s">
        <v>134</v>
      </c>
      <c r="AX1" s="4" t="s">
        <v>139</v>
      </c>
      <c r="BI1" s="4" t="s">
        <v>134</v>
      </c>
      <c r="BJ1" s="4" t="s">
        <v>140</v>
      </c>
    </row>
    <row r="2" spans="1:73" x14ac:dyDescent="0.35">
      <c r="F2" s="4" t="s">
        <v>134</v>
      </c>
      <c r="G2" s="4" t="s">
        <v>24</v>
      </c>
      <c r="H2" s="4" t="s">
        <v>18</v>
      </c>
      <c r="I2" s="4" t="s">
        <v>13</v>
      </c>
      <c r="J2" s="4" t="s">
        <v>135</v>
      </c>
      <c r="N2" s="5" t="s">
        <v>30</v>
      </c>
      <c r="O2" s="6">
        <v>137</v>
      </c>
      <c r="T2" s="4" t="s">
        <v>41</v>
      </c>
      <c r="V2" s="6">
        <v>22</v>
      </c>
      <c r="AB2" s="5" t="s">
        <v>41</v>
      </c>
      <c r="AC2" s="6">
        <v>9750</v>
      </c>
      <c r="AM2" s="4" t="s">
        <v>41</v>
      </c>
      <c r="AO2" s="6">
        <v>22</v>
      </c>
      <c r="AW2" s="5" t="s">
        <v>24</v>
      </c>
      <c r="AX2" s="6">
        <v>159</v>
      </c>
      <c r="BI2" s="5" t="s">
        <v>141</v>
      </c>
      <c r="BJ2" s="7">
        <v>6.8292199425116468E-2</v>
      </c>
      <c r="BT2" s="4" t="s">
        <v>134</v>
      </c>
      <c r="BU2" s="4" t="s">
        <v>140</v>
      </c>
    </row>
    <row r="3" spans="1:73" x14ac:dyDescent="0.35">
      <c r="A3" s="4" t="s">
        <v>134</v>
      </c>
      <c r="B3" s="4" t="s">
        <v>136</v>
      </c>
      <c r="F3" s="5" t="s">
        <v>30</v>
      </c>
      <c r="G3" s="6">
        <v>330</v>
      </c>
      <c r="H3" s="6">
        <v>4895.454545454545</v>
      </c>
      <c r="I3" s="6">
        <v>2331.25</v>
      </c>
      <c r="J3" s="6">
        <v>2979.2</v>
      </c>
      <c r="N3" s="5" t="s">
        <v>15</v>
      </c>
      <c r="O3" s="6">
        <v>200</v>
      </c>
      <c r="T3" s="4" t="s">
        <v>31</v>
      </c>
      <c r="V3" s="6">
        <v>31</v>
      </c>
      <c r="AB3" s="5" t="s">
        <v>31</v>
      </c>
      <c r="AC3" s="6">
        <v>20800</v>
      </c>
      <c r="AM3" s="4" t="s">
        <v>31</v>
      </c>
      <c r="AO3" s="6">
        <v>31</v>
      </c>
      <c r="AW3" s="5" t="s">
        <v>18</v>
      </c>
      <c r="AX3" s="6">
        <v>253</v>
      </c>
      <c r="BI3" s="5" t="s">
        <v>142</v>
      </c>
      <c r="BJ3" s="7">
        <v>0.12449202101298444</v>
      </c>
      <c r="BT3" s="5" t="s">
        <v>141</v>
      </c>
      <c r="BU3" s="6">
        <v>17225</v>
      </c>
    </row>
    <row r="4" spans="1:73" x14ac:dyDescent="0.35">
      <c r="A4" s="5" t="s">
        <v>30</v>
      </c>
      <c r="B4" s="8">
        <v>2979.2</v>
      </c>
      <c r="F4" s="5" t="s">
        <v>15</v>
      </c>
      <c r="G4" s="6">
        <v>567.27272727272725</v>
      </c>
      <c r="H4" s="6">
        <v>2533.3333333333335</v>
      </c>
      <c r="I4" s="6">
        <v>3375</v>
      </c>
      <c r="J4" s="6">
        <v>2059.7142857142858</v>
      </c>
      <c r="N4" s="5" t="s">
        <v>10</v>
      </c>
      <c r="O4" s="6">
        <v>101</v>
      </c>
      <c r="T4" s="4" t="s">
        <v>46</v>
      </c>
      <c r="V4" s="6">
        <v>106</v>
      </c>
      <c r="AB4" s="5" t="s">
        <v>46</v>
      </c>
      <c r="AC4" s="6">
        <v>53680</v>
      </c>
      <c r="AM4" s="4" t="s">
        <v>46</v>
      </c>
      <c r="AO4" s="6">
        <v>106</v>
      </c>
      <c r="AW4" s="5" t="s">
        <v>13</v>
      </c>
      <c r="AX4" s="6">
        <v>153</v>
      </c>
      <c r="BI4" s="5" t="s">
        <v>143</v>
      </c>
      <c r="BJ4" s="7">
        <v>7.0294380017841218E-2</v>
      </c>
      <c r="BT4" s="5" t="s">
        <v>142</v>
      </c>
      <c r="BU4" s="6">
        <v>31400</v>
      </c>
    </row>
    <row r="5" spans="1:73" x14ac:dyDescent="0.35">
      <c r="A5" s="5" t="s">
        <v>15</v>
      </c>
      <c r="B5" s="8">
        <v>2059.7142857142858</v>
      </c>
      <c r="F5" s="5" t="s">
        <v>10</v>
      </c>
      <c r="G5" s="6">
        <v>420</v>
      </c>
      <c r="H5" s="6">
        <v>4764.2857142857147</v>
      </c>
      <c r="I5" s="6">
        <v>2712.5</v>
      </c>
      <c r="J5" s="6">
        <v>2893.75</v>
      </c>
      <c r="N5" s="5" t="s">
        <v>26</v>
      </c>
      <c r="O5" s="6">
        <v>127</v>
      </c>
      <c r="T5" s="4" t="s">
        <v>22</v>
      </c>
      <c r="V5" s="6">
        <v>100</v>
      </c>
      <c r="AB5" s="5" t="s">
        <v>22</v>
      </c>
      <c r="AC5" s="6">
        <v>38175</v>
      </c>
      <c r="AM5" s="4" t="s">
        <v>22</v>
      </c>
      <c r="AO5" s="6">
        <v>100</v>
      </c>
      <c r="BI5" s="5" t="s">
        <v>144</v>
      </c>
      <c r="BJ5" s="7">
        <v>0.14550500545148182</v>
      </c>
      <c r="BT5" s="5" t="s">
        <v>143</v>
      </c>
      <c r="BU5" s="6">
        <v>17730</v>
      </c>
    </row>
    <row r="6" spans="1:73" x14ac:dyDescent="0.35">
      <c r="A6" s="5" t="s">
        <v>10</v>
      </c>
      <c r="B6" s="8">
        <v>2893.75</v>
      </c>
      <c r="F6" s="5" t="s">
        <v>26</v>
      </c>
      <c r="G6" s="6">
        <v>369.375</v>
      </c>
      <c r="H6" s="6">
        <v>4031.818181818182</v>
      </c>
      <c r="I6" s="6">
        <v>2410</v>
      </c>
      <c r="J6" s="6">
        <v>2473.125</v>
      </c>
      <c r="N6" s="5" t="s">
        <v>135</v>
      </c>
      <c r="O6" s="6">
        <v>565</v>
      </c>
      <c r="T6" s="4" t="s">
        <v>34</v>
      </c>
      <c r="V6" s="6">
        <v>55</v>
      </c>
      <c r="AB6" s="5" t="s">
        <v>34</v>
      </c>
      <c r="AC6" s="6">
        <v>34065</v>
      </c>
      <c r="AM6" s="4" t="s">
        <v>34</v>
      </c>
      <c r="AO6" s="6">
        <v>55</v>
      </c>
      <c r="BI6" s="5" t="s">
        <v>145</v>
      </c>
      <c r="BJ6" s="7">
        <v>6.0759242739617407E-2</v>
      </c>
      <c r="BT6" s="5" t="s">
        <v>144</v>
      </c>
      <c r="BU6" s="6">
        <v>36700</v>
      </c>
    </row>
    <row r="7" spans="1:73" x14ac:dyDescent="0.35">
      <c r="A7" s="5" t="s">
        <v>26</v>
      </c>
      <c r="B7" s="8">
        <v>2473.125</v>
      </c>
      <c r="F7" s="5" t="s">
        <v>135</v>
      </c>
      <c r="G7" s="6">
        <v>442.5</v>
      </c>
      <c r="H7" s="6">
        <v>3769.1489361702129</v>
      </c>
      <c r="I7" s="6">
        <v>2686.9565217391305</v>
      </c>
      <c r="J7" s="6">
        <v>2522.25</v>
      </c>
      <c r="T7" s="4" t="s">
        <v>11</v>
      </c>
      <c r="V7" s="6">
        <v>79</v>
      </c>
      <c r="AB7" s="5" t="s">
        <v>11</v>
      </c>
      <c r="AC7" s="6">
        <v>36550</v>
      </c>
      <c r="AM7" s="4" t="s">
        <v>11</v>
      </c>
      <c r="AO7" s="6">
        <v>79</v>
      </c>
      <c r="BI7" s="5" t="s">
        <v>146</v>
      </c>
      <c r="BJ7" s="7">
        <v>5.146198830409357E-2</v>
      </c>
      <c r="BT7" s="5" t="s">
        <v>145</v>
      </c>
      <c r="BU7" s="6">
        <v>15325</v>
      </c>
    </row>
    <row r="8" spans="1:73" x14ac:dyDescent="0.35">
      <c r="A8" s="5" t="s">
        <v>135</v>
      </c>
      <c r="B8" s="8">
        <v>2522.25</v>
      </c>
      <c r="T8" s="4" t="s">
        <v>16</v>
      </c>
      <c r="V8" s="6">
        <v>100</v>
      </c>
      <c r="AB8" s="5" t="s">
        <v>16</v>
      </c>
      <c r="AC8" s="6">
        <v>33915</v>
      </c>
      <c r="AM8" s="4" t="s">
        <v>16</v>
      </c>
      <c r="AO8" s="6">
        <v>100</v>
      </c>
      <c r="BI8" s="5" t="s">
        <v>147</v>
      </c>
      <c r="BJ8" s="7">
        <v>9.9712558231737539E-2</v>
      </c>
      <c r="BT8" s="5" t="s">
        <v>146</v>
      </c>
      <c r="BU8" s="6">
        <v>12980</v>
      </c>
    </row>
    <row r="9" spans="1:73" x14ac:dyDescent="0.35">
      <c r="T9" s="4" t="s">
        <v>27</v>
      </c>
      <c r="V9" s="6">
        <v>72</v>
      </c>
      <c r="AB9" s="5" t="s">
        <v>27</v>
      </c>
      <c r="AC9" s="6">
        <v>25290</v>
      </c>
      <c r="AM9" s="4" t="s">
        <v>27</v>
      </c>
      <c r="AO9" s="6">
        <v>72</v>
      </c>
      <c r="BI9" s="5" t="s">
        <v>148</v>
      </c>
      <c r="BJ9" s="7">
        <v>0.10732480919813658</v>
      </c>
      <c r="BT9" s="5" t="s">
        <v>147</v>
      </c>
      <c r="BU9" s="6">
        <v>25150</v>
      </c>
    </row>
    <row r="10" spans="1:73" x14ac:dyDescent="0.35">
      <c r="AB10" s="5" t="s">
        <v>135</v>
      </c>
      <c r="AC10" s="6">
        <v>252225</v>
      </c>
      <c r="BI10" s="5" t="s">
        <v>149</v>
      </c>
      <c r="BJ10" s="7">
        <v>7.2058677767865995E-2</v>
      </c>
      <c r="BT10" s="5" t="s">
        <v>148</v>
      </c>
      <c r="BU10" s="6">
        <v>27070</v>
      </c>
    </row>
    <row r="11" spans="1:73" x14ac:dyDescent="0.35">
      <c r="BI11" s="5" t="s">
        <v>150</v>
      </c>
      <c r="BJ11" s="7">
        <v>5.3939934582218255E-2</v>
      </c>
      <c r="BT11" s="5" t="s">
        <v>149</v>
      </c>
      <c r="BU11" s="6">
        <v>18175</v>
      </c>
    </row>
    <row r="12" spans="1:73" x14ac:dyDescent="0.35">
      <c r="BI12" s="5" t="s">
        <v>151</v>
      </c>
      <c r="BJ12" s="7">
        <v>6.4426603231241941E-2</v>
      </c>
      <c r="BT12" s="5" t="s">
        <v>150</v>
      </c>
      <c r="BU12" s="6">
        <v>13605</v>
      </c>
    </row>
    <row r="13" spans="1:73" x14ac:dyDescent="0.35">
      <c r="BI13" s="5" t="s">
        <v>152</v>
      </c>
      <c r="BJ13" s="7">
        <v>8.1732580037664787E-2</v>
      </c>
      <c r="BT13" s="5" t="s">
        <v>151</v>
      </c>
      <c r="BU13" s="6">
        <v>16250</v>
      </c>
    </row>
    <row r="14" spans="1:73" x14ac:dyDescent="0.35">
      <c r="BT14" s="5" t="s">
        <v>152</v>
      </c>
      <c r="BU14" s="6">
        <v>20615</v>
      </c>
    </row>
    <row r="17" spans="5:5" x14ac:dyDescent="0.35">
      <c r="E17" s="9"/>
    </row>
  </sheetData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Mahmood Mohamed</dc:creator>
  <cp:lastModifiedBy>احمد فتحى كمال مشرف</cp:lastModifiedBy>
  <dcterms:created xsi:type="dcterms:W3CDTF">2026-01-06T17:05:54Z</dcterms:created>
  <dcterms:modified xsi:type="dcterms:W3CDTF">2026-02-06T01:18:16Z</dcterms:modified>
</cp:coreProperties>
</file>