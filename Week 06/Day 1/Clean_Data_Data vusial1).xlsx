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D102D35-5C3A-4958-9996-2D3F329584A1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Data before cleaning" sheetId="4" r:id="rId1"/>
    <sheet name="Clean Data" sheetId="2" r:id="rId2"/>
    <sheet name="Convert Number" sheetId="3" r:id="rId3"/>
    <sheet name="Flash fill" sheetId="5" r:id="rId4"/>
    <sheet name="DV(1)" sheetId="8" r:id="rId5"/>
    <sheet name="DV(2)" sheetId="9" r:id="rId6"/>
    <sheet name="DV(3)" sheetId="10" r:id="rId7"/>
    <sheet name="DV(4)" sheetId="11" r:id="rId8"/>
    <sheet name="Data Visul" sheetId="6" r:id="rId9"/>
  </sheets>
  <definedNames>
    <definedName name="_xlchart.v1.0" hidden="1">'Data Visul'!$A$16:$A$23</definedName>
    <definedName name="_xlchart.v1.1" hidden="1">'Data Visul'!$B$15</definedName>
    <definedName name="_xlchart.v1.10" hidden="1">'Data Visul'!$B$15</definedName>
    <definedName name="_xlchart.v1.11" hidden="1">'Data Visul'!$B$16:$B$23</definedName>
    <definedName name="_xlchart.v1.2" hidden="1">'Data Visul'!$B$16:$B$23</definedName>
    <definedName name="_xlchart.v1.3" hidden="1">'Data Visul'!$A$16:$A$23</definedName>
    <definedName name="_xlchart.v1.4" hidden="1">'Data Visul'!$B$15</definedName>
    <definedName name="_xlchart.v1.5" hidden="1">'Data Visul'!$B$16:$B$23</definedName>
    <definedName name="_xlchart.v1.6" hidden="1">'Data Visul'!$A$16:$A$23</definedName>
    <definedName name="_xlchart.v1.7" hidden="1">'Data Visul'!$B$15</definedName>
    <definedName name="_xlchart.v1.8" hidden="1">'Data Visul'!$B$16:$B$23</definedName>
    <definedName name="_xlchart.v1.9" hidden="1">'Data Visul'!$A$16:$A$23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6" l="1"/>
  <c r="B22" i="6"/>
  <c r="B21" i="6"/>
  <c r="B20" i="6"/>
  <c r="B19" i="6"/>
  <c r="B18" i="6"/>
  <c r="B17" i="6"/>
  <c r="B16" i="6"/>
  <c r="B20" i="10"/>
  <c r="B19" i="10"/>
  <c r="B18" i="10"/>
  <c r="B17" i="10"/>
  <c r="B14" i="9"/>
  <c r="B13" i="9"/>
</calcChain>
</file>

<file path=xl/sharedStrings.xml><?xml version="1.0" encoding="utf-8"?>
<sst xmlns="http://schemas.openxmlformats.org/spreadsheetml/2006/main" count="330" uniqueCount="113">
  <si>
    <t>Candidate ID</t>
  </si>
  <si>
    <t>Birthdate</t>
  </si>
  <si>
    <t>Experience</t>
  </si>
  <si>
    <t>Gender</t>
  </si>
  <si>
    <t>Email Username</t>
  </si>
  <si>
    <t>Email domain</t>
  </si>
  <si>
    <t>PUY-046</t>
  </si>
  <si>
    <t>Malee</t>
  </si>
  <si>
    <t>bkearford0</t>
  </si>
  <si>
    <t>qq.com</t>
  </si>
  <si>
    <t>WDG-852</t>
  </si>
  <si>
    <t>Female</t>
  </si>
  <si>
    <t>mmaclaren1</t>
  </si>
  <si>
    <t>creativecommons.org</t>
  </si>
  <si>
    <t>BMM-114</t>
  </si>
  <si>
    <t>agadaud2</t>
  </si>
  <si>
    <t>omniture.com</t>
  </si>
  <si>
    <t>NYU-778</t>
  </si>
  <si>
    <t>dmccurt3</t>
  </si>
  <si>
    <t>exblog.jp</t>
  </si>
  <si>
    <t>VAZ-841</t>
  </si>
  <si>
    <t>ctrueman4</t>
  </si>
  <si>
    <t>1und1.de</t>
  </si>
  <si>
    <t>OFO-006</t>
  </si>
  <si>
    <t>svise5</t>
  </si>
  <si>
    <t>tinypic.com</t>
  </si>
  <si>
    <t>GHZ-563</t>
  </si>
  <si>
    <t>Male</t>
  </si>
  <si>
    <t>mcaves6</t>
  </si>
  <si>
    <t>earthlink.net</t>
  </si>
  <si>
    <t>KQB-103</t>
  </si>
  <si>
    <t>bvolante7</t>
  </si>
  <si>
    <t>addthis.com</t>
  </si>
  <si>
    <t>EYG-806</t>
  </si>
  <si>
    <t>MALE</t>
  </si>
  <si>
    <t>jaiskrigg8</t>
  </si>
  <si>
    <t>networksolutions.com</t>
  </si>
  <si>
    <t xml:space="preserve">AQR-932 </t>
  </si>
  <si>
    <t>agarlandb</t>
  </si>
  <si>
    <t>tuttocitta.it</t>
  </si>
  <si>
    <t>Email</t>
  </si>
  <si>
    <t>bkearford0@qq.com</t>
  </si>
  <si>
    <t>mmaclaren1@creativecommons.org</t>
  </si>
  <si>
    <t>agadaud2@omniture.com</t>
  </si>
  <si>
    <t>dmccurt3@exblog.jp</t>
  </si>
  <si>
    <t>ctrueman4@1und1.de</t>
  </si>
  <si>
    <t>svise5@tinypic.com</t>
  </si>
  <si>
    <t>mcaves6@earthlink.net</t>
  </si>
  <si>
    <t>bvolante7@addthis.com</t>
  </si>
  <si>
    <t>jaiskrigg8@networksolutions.com</t>
  </si>
  <si>
    <t>agarlandb@tuttocitta.it</t>
  </si>
  <si>
    <t>Candidate ID,Birthdate,Experience/Gender/Email</t>
  </si>
  <si>
    <t xml:space="preserve">   PUY-046,20636,18/Malee/bkearford0@qq.com        </t>
  </si>
  <si>
    <t xml:space="preserve">WDG-_x000C_852,30511,19/Female/mmaclaren1@creativecommons.org  </t>
  </si>
  <si>
    <t xml:space="preserve">  BMM-114,36838,20/Malee/agadaud2@omniture.com    </t>
  </si>
  <si>
    <t xml:space="preserve">             NYU-778,20427, 10/Female/dmccurt3@exblog.jp   </t>
  </si>
  <si>
    <t>VAZ-841,25487,22/FEMALE/ctrueman4@1und1.de</t>
  </si>
  <si>
    <t xml:space="preserve">          OFO-006,26150,14/Female/svise5@tinypic.com</t>
  </si>
  <si>
    <t xml:space="preserve">GHZ-_x000C_563,21247,23/male/mcaves6@earthlink.net     </t>
  </si>
  <si>
    <t xml:space="preserve">       KQB-103,19412,6/Male/bvolante7@addthis.com   </t>
  </si>
  <si>
    <t xml:space="preserve">    EYG-806,27839,5/MALE/jaiskrigg8@networksolutions.com</t>
  </si>
  <si>
    <t xml:space="preserve">AQR-9_x0003_32 ,19632,19/Male/agarlandb@tuttocitta.it     </t>
  </si>
  <si>
    <t>After clean Duplicates</t>
  </si>
  <si>
    <t>OR-202</t>
  </si>
  <si>
    <t>CS-504</t>
  </si>
  <si>
    <t>IS-305</t>
  </si>
  <si>
    <t>IT-101</t>
  </si>
  <si>
    <t>stat-202</t>
  </si>
  <si>
    <t>Math-414</t>
  </si>
  <si>
    <t>Ethics-605</t>
  </si>
  <si>
    <t>OR</t>
  </si>
  <si>
    <t>CS</t>
  </si>
  <si>
    <t>IS</t>
  </si>
  <si>
    <t>IT</t>
  </si>
  <si>
    <t>stat</t>
  </si>
  <si>
    <t>Math</t>
  </si>
  <si>
    <t>Ethics</t>
  </si>
  <si>
    <t>UN</t>
  </si>
  <si>
    <t>DO</t>
  </si>
  <si>
    <t>Mohandseen</t>
  </si>
  <si>
    <t>Nasr City</t>
  </si>
  <si>
    <t>Tagamoa</t>
  </si>
  <si>
    <t>Faisal</t>
  </si>
  <si>
    <t>6Th Of October</t>
  </si>
  <si>
    <t>Dokki</t>
  </si>
  <si>
    <t>Zayed</t>
  </si>
  <si>
    <t>Maadi</t>
  </si>
  <si>
    <t>City</t>
  </si>
  <si>
    <t>SALARY</t>
  </si>
  <si>
    <t>DATE OF HIRE</t>
  </si>
  <si>
    <t>sales</t>
  </si>
  <si>
    <t>Amal</t>
  </si>
  <si>
    <t>male</t>
  </si>
  <si>
    <t xml:space="preserve">Mhmoude </t>
  </si>
  <si>
    <t>Shahd</t>
  </si>
  <si>
    <t>Ali</t>
  </si>
  <si>
    <t>Ramy Adel</t>
  </si>
  <si>
    <t>6th Of October</t>
  </si>
  <si>
    <t>Mostafa</t>
  </si>
  <si>
    <t>[&gt;=1000000]0.##,,"M";[&gt;=1000]0.#,"K";0</t>
  </si>
  <si>
    <t>تحول الارقام الي (K)</t>
  </si>
  <si>
    <t>Dayed</t>
  </si>
  <si>
    <t>Ahmed</t>
  </si>
  <si>
    <t>Mona</t>
  </si>
  <si>
    <t>Alaa</t>
  </si>
  <si>
    <t>Maged</t>
  </si>
  <si>
    <t>Hana</t>
  </si>
  <si>
    <t>CITY</t>
  </si>
  <si>
    <t>Gander</t>
  </si>
  <si>
    <t>Name</t>
  </si>
  <si>
    <t xml:space="preserve">Ramy </t>
  </si>
  <si>
    <t>Sales</t>
  </si>
  <si>
    <t>Octobar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</si>
</sst>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-00\-0000"/>
    <numFmt numFmtId="165" formatCode="&quot;$&quot;#,##0.00"/>
    <numFmt numFmtId="168" formatCode="[&gt;=1000000]0.##,,&quot;M&quot;;[&gt;=1000]0.#,&quot;K&quot;;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6100"/>
      <name val="Times New Roman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Times New Roman"/>
      <family val="2"/>
    </font>
    <font>
      <b/>
      <sz val="11"/>
      <color theme="1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E8F4FD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0F0DB"/>
        <bgColor indexed="64"/>
      </patternFill>
    </fill>
    <fill>
      <patternFill patternType="solid">
        <fgColor rgb="FFE1D9BC"/>
        <bgColor indexed="64"/>
      </patternFill>
    </fill>
    <fill>
      <patternFill patternType="solid">
        <fgColor rgb="FFF0F0DB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2" fillId="0" borderId="1" xfId="1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4" borderId="1" xfId="0" applyFill="1" applyBorder="1"/>
    <xf numFmtId="0" fontId="6" fillId="5" borderId="1" xfId="0" applyFont="1" applyFill="1" applyBorder="1"/>
    <xf numFmtId="0" fontId="4" fillId="2" borderId="0" xfId="0" applyFont="1" applyFill="1" applyAlignment="1">
      <alignment horizontal="center"/>
    </xf>
    <xf numFmtId="0" fontId="0" fillId="6" borderId="0" xfId="0" applyFill="1"/>
    <xf numFmtId="0" fontId="0" fillId="6" borderId="1" xfId="2" applyFont="1" applyFill="1" applyBorder="1"/>
    <xf numFmtId="164" fontId="0" fillId="6" borderId="1" xfId="2" applyNumberFormat="1" applyFont="1" applyFill="1" applyBorder="1" applyAlignment="1">
      <alignment shrinkToFit="1"/>
    </xf>
    <xf numFmtId="0" fontId="1" fillId="7" borderId="4" xfId="2" applyFont="1" applyFill="1" applyBorder="1"/>
    <xf numFmtId="165" fontId="1" fillId="7" borderId="9" xfId="2" applyNumberFormat="1" applyFont="1" applyFill="1" applyBorder="1"/>
    <xf numFmtId="0" fontId="1" fillId="7" borderId="9" xfId="2" applyFont="1" applyFill="1" applyBorder="1"/>
    <xf numFmtId="0" fontId="0" fillId="7" borderId="5" xfId="2" applyFont="1" applyFill="1" applyBorder="1"/>
    <xf numFmtId="168" fontId="1" fillId="7" borderId="9" xfId="2" applyNumberFormat="1" applyFont="1" applyFill="1" applyBorder="1"/>
    <xf numFmtId="0" fontId="1" fillId="7" borderId="10" xfId="2" applyFont="1" applyFill="1" applyBorder="1"/>
    <xf numFmtId="0" fontId="0" fillId="7" borderId="1" xfId="2" applyFont="1" applyFill="1" applyBorder="1"/>
    <xf numFmtId="168" fontId="1" fillId="7" borderId="10" xfId="2" applyNumberFormat="1" applyFont="1" applyFill="1" applyBorder="1"/>
    <xf numFmtId="164" fontId="0" fillId="7" borderId="1" xfId="2" applyNumberFormat="1" applyFont="1" applyFill="1" applyBorder="1" applyAlignment="1">
      <alignment shrinkToFit="1"/>
    </xf>
    <xf numFmtId="0" fontId="1" fillId="7" borderId="8" xfId="2" applyFont="1" applyFill="1" applyBorder="1"/>
    <xf numFmtId="0" fontId="0" fillId="7" borderId="6" xfId="2" applyFont="1" applyFill="1" applyBorder="1"/>
    <xf numFmtId="168" fontId="1" fillId="7" borderId="8" xfId="2" applyNumberFormat="1" applyFont="1" applyFill="1" applyBorder="1"/>
    <xf numFmtId="168" fontId="1" fillId="7" borderId="2" xfId="2" applyNumberFormat="1" applyFont="1" applyFill="1" applyBorder="1"/>
    <xf numFmtId="0" fontId="1" fillId="6" borderId="1" xfId="2" applyFont="1" applyFill="1" applyBorder="1"/>
    <xf numFmtId="0" fontId="1" fillId="6" borderId="3" xfId="2" applyFont="1" applyFill="1" applyBorder="1"/>
    <xf numFmtId="165" fontId="1" fillId="6" borderId="1" xfId="2" applyNumberFormat="1" applyFont="1" applyFill="1" applyBorder="1"/>
    <xf numFmtId="168" fontId="1" fillId="6" borderId="1" xfId="2" applyNumberFormat="1" applyFont="1" applyFill="1" applyBorder="1"/>
    <xf numFmtId="0" fontId="6" fillId="5" borderId="1" xfId="0" applyFont="1" applyFill="1" applyBorder="1" applyAlignment="1">
      <alignment horizontal="center" vertical="center"/>
    </xf>
    <xf numFmtId="0" fontId="7" fillId="5" borderId="7" xfId="3" applyFill="1" applyBorder="1"/>
    <xf numFmtId="0" fontId="7" fillId="5" borderId="7" xfId="3" applyFill="1" applyBorder="1" applyAlignment="1">
      <alignment horizontal="center" vertical="center"/>
    </xf>
    <xf numFmtId="0" fontId="7" fillId="5" borderId="6" xfId="3" applyFill="1" applyBorder="1" applyAlignment="1">
      <alignment horizontal="center" vertical="center"/>
    </xf>
    <xf numFmtId="0" fontId="8" fillId="8" borderId="1" xfId="3" applyFont="1" applyFill="1" applyBorder="1"/>
    <xf numFmtId="168" fontId="8" fillId="6" borderId="1" xfId="3" applyNumberFormat="1" applyFont="1" applyFill="1" applyBorder="1"/>
    <xf numFmtId="0" fontId="8" fillId="6" borderId="1" xfId="3" applyFont="1" applyFill="1" applyBorder="1"/>
    <xf numFmtId="0" fontId="8" fillId="8" borderId="7" xfId="3" applyFont="1" applyFill="1" applyBorder="1"/>
    <xf numFmtId="168" fontId="8" fillId="8" borderId="6" xfId="3" applyNumberFormat="1" applyFont="1" applyFill="1" applyBorder="1"/>
    <xf numFmtId="0" fontId="8" fillId="6" borderId="7" xfId="3" applyFont="1" applyFill="1" applyBorder="1"/>
    <xf numFmtId="168" fontId="8" fillId="6" borderId="6" xfId="3" applyNumberFormat="1" applyFont="1" applyFill="1" applyBorder="1"/>
  </cellXfs>
  <cellStyles count="4">
    <cellStyle name="Good" xfId="2" builtinId="26"/>
    <cellStyle name="Heading 4" xfId="3" builtinId="19"/>
    <cellStyle name="Hyperlink" xfId="1" builtinId="8"/>
    <cellStyle name="Normal" xfId="0" builtinId="0"/>
  </cellStyles>
  <dxfs count="8">
    <dxf>
      <font>
        <b/>
      </font>
      <fill>
        <patternFill patternType="solid">
          <fgColor indexed="64"/>
          <bgColor rgb="FFE1D9BC"/>
        </patternFill>
      </fill>
    </dxf>
    <dxf>
      <font>
        <b/>
      </font>
      <fill>
        <patternFill patternType="solid">
          <fgColor indexed="64"/>
          <bgColor rgb="FFE1D9B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&gt;=1000000]0.##,,&quot;M&quot;;[&gt;=1000]0.#,&quot;K&quot;;0"/>
      <fill>
        <patternFill patternType="solid">
          <fgColor indexed="64"/>
          <bgColor rgb="FFE1D9BC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1D9B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1D9BC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ACBAC4"/>
      <color rgb="FFF0F0DB"/>
      <color rgb="FFE1D9BC"/>
      <color rgb="FF30364F"/>
      <color rgb="FF3BC1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2.jp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is the highest salary?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7356591488011"/>
          <c:y val="0.20662952646239557"/>
          <c:w val="0.77899983740970435"/>
          <c:h val="0.732089136490250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'DV(1)'!$C$1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rgbClr val="3036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'DV(1)'!$A$2:$A$9</c:f>
              <c:strCache>
                <c:ptCount val="8"/>
                <c:pt idx="0">
                  <c:v>Ali</c:v>
                </c:pt>
                <c:pt idx="1">
                  <c:v>Hana</c:v>
                </c:pt>
                <c:pt idx="2">
                  <c:v>Maged</c:v>
                </c:pt>
                <c:pt idx="3">
                  <c:v>Alaa</c:v>
                </c:pt>
                <c:pt idx="4">
                  <c:v>Mona</c:v>
                </c:pt>
                <c:pt idx="5">
                  <c:v>Ahmed</c:v>
                </c:pt>
                <c:pt idx="6">
                  <c:v>Mostafa</c:v>
                </c:pt>
                <c:pt idx="7">
                  <c:v>Ramy </c:v>
                </c:pt>
              </c:strCache>
            </c:strRef>
          </c:cat>
          <c:val>
            <c:numRef>
              <c:f>'DV(1)'!$C$2:$C$9</c:f>
              <c:numCache>
                <c:formatCode>[&gt;=1000000]0.##,,"M";[&gt;=1000]0.#,"K";0</c:formatCode>
                <c:ptCount val="8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25000</c:v>
                </c:pt>
                <c:pt idx="4">
                  <c:v>10000</c:v>
                </c:pt>
                <c:pt idx="5">
                  <c:v>8000</c:v>
                </c:pt>
                <c:pt idx="6">
                  <c:v>20000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A-4D87-96BD-75F8D5CC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126432"/>
        <c:axId val="652497120"/>
      </c:barChart>
      <c:catAx>
        <c:axId val="7351264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F0F0DB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97120"/>
        <c:crosses val="autoZero"/>
        <c:auto val="1"/>
        <c:lblAlgn val="ctr"/>
        <c:lblOffset val="100"/>
        <c:noMultiLvlLbl val="0"/>
      </c:catAx>
      <c:valAx>
        <c:axId val="65249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##,,&quot;M&quot;;[&gt;=1000]0.#,&quot;K&quot;;0" sourceLinked="1"/>
        <c:majorTickMark val="none"/>
        <c:minorTickMark val="none"/>
        <c:tickLblPos val="nextTo"/>
        <c:crossAx val="735126432"/>
        <c:crosses val="autoZero"/>
        <c:crossBetween val="between"/>
      </c:valAx>
      <c:spPr>
        <a:noFill/>
        <a:ln>
          <a:solidFill>
            <a:srgbClr val="F0F0DB"/>
          </a:solidFill>
        </a:ln>
        <a:effectLst>
          <a:outerShdw blurRad="50800" dist="50800" dir="5400000" algn="ctr" rotWithShape="0">
            <a:srgbClr val="F0F0DB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ACBAC4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267845617658451E-2"/>
          <c:y val="0.33685719141222453"/>
          <c:w val="0.91435678016883404"/>
          <c:h val="0.65134640019836809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4"/>
                <a:srcRect/>
                <a:stretch>
                  <a:fillRect l="-40000" r="-40000"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D0-41F0-B239-15224266001D}"/>
              </c:ext>
            </c:extLst>
          </c:dPt>
          <c:dPt>
            <c:idx val="1"/>
            <c:invertIfNegative val="0"/>
            <c:bubble3D val="0"/>
            <c:spPr>
              <a:blipFill dpi="0" rotWithShape="1">
                <a:blip xmlns:r="http://schemas.openxmlformats.org/officeDocument/2006/relationships" r:embed="rId3"/>
                <a:srcRect/>
                <a:stretch>
                  <a:fillRect l="-40000" t="-1000" r="-40000" b="14000"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D0-41F0-B239-15224266001D}"/>
              </c:ext>
            </c:extLst>
          </c:dPt>
          <c:dLbls>
            <c:dLbl>
              <c:idx val="1"/>
              <c:layout>
                <c:manualLayout>
                  <c:x val="-9.0870490942001433E-17"/>
                  <c:y val="-5.49450787163964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D0-41F0-B239-152242660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'DV(2)'!$A$13:$A$14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'DV(2)'!$B$13:$B$14</c:f>
              <c:numCache>
                <c:formatCode>[&gt;=1000000]0.##,,"M";[&gt;=1000]0.#,"K";0</c:formatCode>
                <c:ptCount val="2"/>
                <c:pt idx="0">
                  <c:v>74125</c:v>
                </c:pt>
                <c:pt idx="1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0-41F0-B239-1522426600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124648"/>
        <c:axId val="796125368"/>
      </c:barChart>
      <c:catAx>
        <c:axId val="796124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125368"/>
        <c:crosses val="autoZero"/>
        <c:auto val="1"/>
        <c:lblAlgn val="ctr"/>
        <c:lblOffset val="100"/>
        <c:noMultiLvlLbl val="0"/>
      </c:catAx>
      <c:valAx>
        <c:axId val="79612536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796124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>
                <a:solidFill>
                  <a:schemeClr val="tx1"/>
                </a:solidFill>
              </a:rPr>
              <a:t>sales per location</a:t>
            </a:r>
          </a:p>
        </c:rich>
      </c:tx>
      <c:layout>
        <c:manualLayout>
          <c:xMode val="edge"/>
          <c:yMode val="edge"/>
          <c:x val="0.27940213348416798"/>
          <c:y val="3.513175792361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871953284535"/>
          <c:y val="0.15639639055765839"/>
          <c:w val="0.57109210405303112"/>
          <c:h val="0.76859191270982297"/>
        </c:manualLayout>
      </c:layout>
      <c:doughnutChart>
        <c:varyColors val="1"/>
        <c:ser>
          <c:idx val="0"/>
          <c:order val="0"/>
          <c:tx>
            <c:strRef>
              <c:f>'DV(3)'!$B$16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53-4591-9B85-0D63754BD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53-4591-9B85-0D63754BD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53-4591-9B85-0D63754BD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53-4591-9B85-0D63754BD6FF}"/>
              </c:ext>
            </c:extLst>
          </c:dPt>
          <c:dLbls>
            <c:dLbl>
              <c:idx val="0"/>
              <c:layout>
                <c:manualLayout>
                  <c:x val="0.19766397124887677"/>
                  <c:y val="-8.22249093107618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53-4591-9B85-0D63754BD6FF}"/>
                </c:ext>
              </c:extLst>
            </c:dLbl>
            <c:dLbl>
              <c:idx val="1"/>
              <c:layout>
                <c:manualLayout>
                  <c:x val="0.24079065588499551"/>
                  <c:y val="4.83675937122128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53-4591-9B85-0D63754BD6FF}"/>
                </c:ext>
              </c:extLst>
            </c:dLbl>
            <c:dLbl>
              <c:idx val="2"/>
              <c:layout>
                <c:manualLayout>
                  <c:x val="-0.15094339622641509"/>
                  <c:y val="0.145102781136638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53-4591-9B85-0D63754BD6FF}"/>
                </c:ext>
              </c:extLst>
            </c:dLbl>
            <c:dLbl>
              <c:idx val="3"/>
              <c:layout>
                <c:manualLayout>
                  <c:x val="-0.23288765877501136"/>
                  <c:y val="-8.97136267750627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53-4591-9B85-0D63754BD6FF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'DV(3)'!$A$17:$A$20</c:f>
              <c:strCache>
                <c:ptCount val="4"/>
                <c:pt idx="0">
                  <c:v>Maadi</c:v>
                </c:pt>
                <c:pt idx="1">
                  <c:v>Zayed</c:v>
                </c:pt>
                <c:pt idx="2">
                  <c:v>Dokki</c:v>
                </c:pt>
                <c:pt idx="3">
                  <c:v>Octobar</c:v>
                </c:pt>
              </c:strCache>
            </c:strRef>
          </c:cat>
          <c:val>
            <c:numRef>
              <c:f>'DV(3)'!$B$17:$B$20</c:f>
              <c:numCache>
                <c:formatCode>[&gt;=1000000]0.##,,"M";[&gt;=1000]0.#,"K";0</c:formatCode>
                <c:ptCount val="4"/>
                <c:pt idx="0">
                  <c:v>34000</c:v>
                </c:pt>
                <c:pt idx="1">
                  <c:v>25000</c:v>
                </c:pt>
                <c:pt idx="2">
                  <c:v>24000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3-4591-9B85-0D63754BD6F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Sales per City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Sales per City</a:t>
          </a:r>
        </a:p>
      </cx:txPr>
    </cx:title>
    <cx:plotArea>
      <cx:plotAreaRegion>
        <cx:series layoutId="treemap" uniqueId="{A4A17965-47FF-47F0-8688-B86369BF6C85}">
          <cx:tx>
            <cx:txData>
              <cx:f>_xlchart.v1.4</cx:f>
              <cx:v>sales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" lastClr="FFFFFF"/>
                  </a:solidFill>
                  <a:latin typeface="Calibri"/>
                </a:endParaRPr>
              </a:p>
            </cx:txPr>
            <cx:visibility seriesName="0" categoryName="1" value="1"/>
            <cx:separator>, </cx:separator>
            <cx:dataLabel idx="0">
              <cx:numFmt formatCode="[&gt;=1000000]0.##,,&quot;M&quot;;[&gt;=1000]0.#,&quot;K&quot;;0" sourceLinked="0"/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120650</xdr:rowOff>
    </xdr:from>
    <xdr:to>
      <xdr:col>8</xdr:col>
      <xdr:colOff>495300</xdr:colOff>
      <xdr:row>13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2849D6-52D8-3B43-ACD7-9DB469567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546100</xdr:colOff>
      <xdr:row>0</xdr:row>
      <xdr:rowOff>107950</xdr:rowOff>
    </xdr:from>
    <xdr:to>
      <xdr:col>8</xdr:col>
      <xdr:colOff>584200</xdr:colOff>
      <xdr:row>11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0B66419-0B0F-65A6-3F03-22E0EC192B0E}"/>
            </a:ext>
          </a:extLst>
        </xdr:cNvPr>
        <xdr:cNvSpPr/>
      </xdr:nvSpPr>
      <xdr:spPr>
        <a:xfrm>
          <a:off x="3136900" y="107950"/>
          <a:ext cx="2476500" cy="2044700"/>
        </a:xfrm>
        <a:prstGeom prst="roundRect">
          <a:avLst>
            <a:gd name="adj" fmla="val 1200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31750</xdr:colOff>
      <xdr:row>1</xdr:row>
      <xdr:rowOff>38100</xdr:rowOff>
    </xdr:from>
    <xdr:to>
      <xdr:col>8</xdr:col>
      <xdr:colOff>476250</xdr:colOff>
      <xdr:row>11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6CDCFE-492E-49A3-9BB6-4B8A48445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6349</xdr:colOff>
      <xdr:row>0</xdr:row>
      <xdr:rowOff>31750</xdr:rowOff>
    </xdr:from>
    <xdr:to>
      <xdr:col>10</xdr:col>
      <xdr:colOff>38100</xdr:colOff>
      <xdr:row>13</xdr:row>
      <xdr:rowOff>168274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DD222-AFFB-9E69-9ED5-E364F5390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0</xdr:row>
      <xdr:rowOff>0</xdr:rowOff>
    </xdr:from>
    <xdr:to>
      <xdr:col>10</xdr:col>
      <xdr:colOff>860425</xdr:colOff>
      <xdr:row>17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FAE3BD-1D5E-F7B0-0E79-2F0808CE8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0"/>
              <a:ext cx="4572000" cy="315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D2CB3-832E-477E-AE5A-44D3B63D8E22}" name="Table1" displayName="Table1" ref="A1:C9" totalsRowShown="0" headerRowDxfId="1" dataDxfId="0" headerRowBorderDxfId="6" tableBorderDxfId="7" totalsRowBorderDxfId="5">
  <autoFilter ref="A1:C9" xr:uid="{CA7D2CB3-832E-477E-AE5A-44D3B63D8E22}"/>
  <tableColumns count="3">
    <tableColumn id="1" xr3:uid="{B4DD0142-61CD-4D59-B855-803C87BCAD2C}" name="Name" dataDxfId="4" dataCellStyle="Good"/>
    <tableColumn id="2" xr3:uid="{BF611F2A-CE68-4260-9B6F-D1278DE8AA88}" name="CITY" dataDxfId="3" dataCellStyle="Good"/>
    <tableColumn id="3" xr3:uid="{A74A97F6-9524-4E58-B174-87A04DC38384}" name="SALARY" dataDxfId="2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kearford0@qq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kearford0@qq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50B-37B0-4B52-8F75-4D0423D97898}">
  <dimension ref="A1:A11"/>
  <sheetViews>
    <sheetView workbookViewId="0">
      <selection activeCell="D12" sqref="D12"/>
    </sheetView>
  </sheetViews>
  <sheetFormatPr defaultRowHeight="14.5" x14ac:dyDescent="0.35"/>
  <sheetData>
    <row r="1" spans="1:1" x14ac:dyDescent="0.35">
      <c r="A1" s="1" t="s">
        <v>51</v>
      </c>
    </row>
    <row r="2" spans="1:1" x14ac:dyDescent="0.35">
      <c r="A2" t="s">
        <v>52</v>
      </c>
    </row>
    <row r="3" spans="1:1" x14ac:dyDescent="0.35">
      <c r="A3" t="s">
        <v>53</v>
      </c>
    </row>
    <row r="4" spans="1:1" x14ac:dyDescent="0.35">
      <c r="A4" t="s">
        <v>54</v>
      </c>
    </row>
    <row r="5" spans="1:1" x14ac:dyDescent="0.35">
      <c r="A5" t="s">
        <v>55</v>
      </c>
    </row>
    <row r="6" spans="1:1" x14ac:dyDescent="0.35">
      <c r="A6" t="s">
        <v>56</v>
      </c>
    </row>
    <row r="7" spans="1:1" x14ac:dyDescent="0.35">
      <c r="A7" t="s">
        <v>57</v>
      </c>
    </row>
    <row r="8" spans="1:1" x14ac:dyDescent="0.35">
      <c r="A8" t="s">
        <v>58</v>
      </c>
    </row>
    <row r="9" spans="1:1" x14ac:dyDescent="0.35">
      <c r="A9" t="s">
        <v>59</v>
      </c>
    </row>
    <row r="10" spans="1:1" x14ac:dyDescent="0.35">
      <c r="A10" t="s">
        <v>60</v>
      </c>
    </row>
    <row r="11" spans="1:1" ht="101.5" x14ac:dyDescent="0.35">
      <c r="A11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11"/>
  <sheetViews>
    <sheetView zoomScaleNormal="100" workbookViewId="0">
      <selection activeCell="E2" sqref="E2:E11"/>
    </sheetView>
  </sheetViews>
  <sheetFormatPr defaultRowHeight="14.5" x14ac:dyDescent="0.35"/>
  <cols>
    <col min="1" max="1" width="11.6328125" bestFit="1" customWidth="1"/>
    <col min="2" max="2" width="10.453125" bestFit="1" customWidth="1"/>
    <col min="3" max="3" width="9.90625" bestFit="1" customWidth="1"/>
    <col min="4" max="4" width="7.453125" bestFit="1" customWidth="1"/>
    <col min="5" max="5" width="31.453125" bestFit="1" customWidth="1"/>
    <col min="6" max="6" width="14.7265625" bestFit="1" customWidth="1"/>
    <col min="7" max="7" width="11.1796875" bestFit="1" customWidth="1"/>
  </cols>
  <sheetData>
    <row r="1" spans="1:5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40</v>
      </c>
    </row>
    <row r="2" spans="1:5" x14ac:dyDescent="0.35">
      <c r="A2" s="6" t="s">
        <v>6</v>
      </c>
      <c r="B2" s="7">
        <v>20636</v>
      </c>
      <c r="C2" s="8">
        <v>18</v>
      </c>
      <c r="D2" s="6" t="s">
        <v>27</v>
      </c>
      <c r="E2" s="9" t="s">
        <v>41</v>
      </c>
    </row>
    <row r="3" spans="1:5" x14ac:dyDescent="0.35">
      <c r="A3" s="6" t="s">
        <v>10</v>
      </c>
      <c r="B3" s="7">
        <v>30511</v>
      </c>
      <c r="C3" s="8">
        <v>19</v>
      </c>
      <c r="D3" s="6" t="s">
        <v>11</v>
      </c>
      <c r="E3" s="6" t="s">
        <v>42</v>
      </c>
    </row>
    <row r="4" spans="1:5" x14ac:dyDescent="0.35">
      <c r="A4" s="6" t="s">
        <v>14</v>
      </c>
      <c r="B4" s="7">
        <v>36838</v>
      </c>
      <c r="C4" s="8">
        <v>20</v>
      </c>
      <c r="D4" s="6" t="s">
        <v>27</v>
      </c>
      <c r="E4" s="6" t="s">
        <v>43</v>
      </c>
    </row>
    <row r="5" spans="1:5" x14ac:dyDescent="0.35">
      <c r="A5" s="6" t="s">
        <v>17</v>
      </c>
      <c r="B5" s="7">
        <v>20427</v>
      </c>
      <c r="C5" s="8">
        <v>10</v>
      </c>
      <c r="D5" s="6" t="s">
        <v>11</v>
      </c>
      <c r="E5" s="6" t="s">
        <v>44</v>
      </c>
    </row>
    <row r="6" spans="1:5" x14ac:dyDescent="0.35">
      <c r="A6" s="6" t="s">
        <v>20</v>
      </c>
      <c r="B6" s="7">
        <v>25487</v>
      </c>
      <c r="C6" s="8">
        <v>22</v>
      </c>
      <c r="D6" s="6" t="s">
        <v>11</v>
      </c>
      <c r="E6" s="6" t="s">
        <v>45</v>
      </c>
    </row>
    <row r="7" spans="1:5" x14ac:dyDescent="0.35">
      <c r="A7" s="6" t="s">
        <v>23</v>
      </c>
      <c r="B7" s="7">
        <v>26150</v>
      </c>
      <c r="C7" s="8">
        <v>14</v>
      </c>
      <c r="D7" s="6" t="s">
        <v>11</v>
      </c>
      <c r="E7" s="6" t="s">
        <v>46</v>
      </c>
    </row>
    <row r="8" spans="1:5" x14ac:dyDescent="0.35">
      <c r="A8" s="6" t="s">
        <v>26</v>
      </c>
      <c r="B8" s="7">
        <v>21247</v>
      </c>
      <c r="C8" s="8">
        <v>23</v>
      </c>
      <c r="D8" s="6" t="s">
        <v>27</v>
      </c>
      <c r="E8" s="6" t="s">
        <v>47</v>
      </c>
    </row>
    <row r="9" spans="1:5" x14ac:dyDescent="0.35">
      <c r="A9" s="6" t="s">
        <v>30</v>
      </c>
      <c r="B9" s="7">
        <v>19412</v>
      </c>
      <c r="C9" s="8">
        <v>6</v>
      </c>
      <c r="D9" s="6" t="s">
        <v>27</v>
      </c>
      <c r="E9" s="6" t="s">
        <v>48</v>
      </c>
    </row>
    <row r="10" spans="1:5" x14ac:dyDescent="0.35">
      <c r="A10" s="6" t="s">
        <v>33</v>
      </c>
      <c r="B10" s="7">
        <v>27839</v>
      </c>
      <c r="C10" s="8">
        <v>5</v>
      </c>
      <c r="D10" s="6" t="s">
        <v>27</v>
      </c>
      <c r="E10" s="6" t="s">
        <v>49</v>
      </c>
    </row>
    <row r="11" spans="1:5" ht="17.25" customHeight="1" x14ac:dyDescent="0.35">
      <c r="A11" s="6" t="s">
        <v>37</v>
      </c>
      <c r="B11" s="7">
        <v>19632</v>
      </c>
      <c r="C11" s="8">
        <v>19</v>
      </c>
      <c r="D11" s="6" t="s">
        <v>27</v>
      </c>
      <c r="E11" s="6" t="s">
        <v>50</v>
      </c>
    </row>
  </sheetData>
  <phoneticPr fontId="3" type="noConversion"/>
  <hyperlinks>
    <hyperlink ref="E2" r:id="rId1" xr:uid="{417C8A7A-09AF-4D63-B0BC-A6D3BD3EE78E}"/>
  </hyperlinks>
  <pageMargins left="0.7" right="0.7" top="0.75" bottom="0.75" header="0.3" footer="0.3"/>
  <pageSetup orientation="portrait" r:id="rId2"/>
  <headerFooter>
    <oddFooter>&amp;L&amp;1#&amp;"Calibri"&amp;11&amp;K000000Classification: Protected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16" workbookViewId="0">
      <selection activeCell="K29" sqref="K29"/>
    </sheetView>
  </sheetViews>
  <sheetFormatPr defaultRowHeight="14.5" x14ac:dyDescent="0.35"/>
  <cols>
    <col min="1" max="1" width="12.36328125" bestFit="1" customWidth="1"/>
    <col min="2" max="2" width="10.453125" bestFit="1" customWidth="1"/>
    <col min="3" max="3" width="10.90625" bestFit="1" customWidth="1"/>
    <col min="4" max="4" width="7.6328125" bestFit="1" customWidth="1"/>
    <col min="5" max="5" width="15.54296875" bestFit="1" customWidth="1"/>
    <col min="6" max="6" width="21.08984375" bestFit="1" customWidth="1"/>
  </cols>
  <sheetData>
    <row r="1" spans="1:6" x14ac:dyDescent="0.3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6" t="s">
        <v>6</v>
      </c>
      <c r="B2" s="7">
        <v>20636</v>
      </c>
      <c r="C2" s="11">
        <v>18</v>
      </c>
      <c r="D2" s="6" t="s">
        <v>7</v>
      </c>
      <c r="E2" s="6" t="s">
        <v>8</v>
      </c>
      <c r="F2" s="6" t="s">
        <v>9</v>
      </c>
    </row>
    <row r="3" spans="1:6" x14ac:dyDescent="0.35">
      <c r="A3" s="6" t="s">
        <v>10</v>
      </c>
      <c r="B3" s="7">
        <v>30511</v>
      </c>
      <c r="C3" s="10">
        <v>19</v>
      </c>
      <c r="D3" s="6" t="s">
        <v>11</v>
      </c>
      <c r="E3" s="6" t="s">
        <v>12</v>
      </c>
      <c r="F3" s="6" t="s">
        <v>13</v>
      </c>
    </row>
    <row r="4" spans="1:6" x14ac:dyDescent="0.35">
      <c r="A4" s="6" t="s">
        <v>14</v>
      </c>
      <c r="B4" s="7">
        <v>36838</v>
      </c>
      <c r="C4" s="10">
        <v>20</v>
      </c>
      <c r="D4" s="6" t="s">
        <v>7</v>
      </c>
      <c r="E4" s="6" t="s">
        <v>15</v>
      </c>
      <c r="F4" s="6" t="s">
        <v>16</v>
      </c>
    </row>
    <row r="5" spans="1:6" x14ac:dyDescent="0.35">
      <c r="A5" s="6" t="s">
        <v>17</v>
      </c>
      <c r="B5" s="7">
        <v>20427</v>
      </c>
      <c r="C5" s="10">
        <v>10</v>
      </c>
      <c r="D5" s="6" t="s">
        <v>11</v>
      </c>
      <c r="E5" s="6" t="s">
        <v>18</v>
      </c>
      <c r="F5" s="6" t="s">
        <v>19</v>
      </c>
    </row>
    <row r="6" spans="1:6" x14ac:dyDescent="0.35">
      <c r="A6" s="6" t="s">
        <v>20</v>
      </c>
      <c r="B6" s="7">
        <v>25487</v>
      </c>
      <c r="C6" s="10">
        <v>22</v>
      </c>
      <c r="D6" s="6" t="s">
        <v>11</v>
      </c>
      <c r="E6" s="6" t="s">
        <v>21</v>
      </c>
      <c r="F6" s="6" t="s">
        <v>22</v>
      </c>
    </row>
    <row r="7" spans="1:6" x14ac:dyDescent="0.35">
      <c r="A7" s="6" t="s">
        <v>23</v>
      </c>
      <c r="B7" s="7">
        <v>26150</v>
      </c>
      <c r="C7" s="10">
        <v>14</v>
      </c>
      <c r="D7" s="6" t="s">
        <v>11</v>
      </c>
      <c r="E7" s="6" t="s">
        <v>24</v>
      </c>
      <c r="F7" s="6" t="s">
        <v>25</v>
      </c>
    </row>
    <row r="8" spans="1:6" x14ac:dyDescent="0.35">
      <c r="A8" s="6" t="s">
        <v>26</v>
      </c>
      <c r="B8" s="7">
        <v>21247</v>
      </c>
      <c r="C8" s="10">
        <v>23</v>
      </c>
      <c r="D8" s="6" t="s">
        <v>27</v>
      </c>
      <c r="E8" s="6" t="s">
        <v>28</v>
      </c>
      <c r="F8" s="6" t="s">
        <v>29</v>
      </c>
    </row>
    <row r="9" spans="1:6" x14ac:dyDescent="0.35">
      <c r="A9" s="6" t="s">
        <v>30</v>
      </c>
      <c r="B9" s="7">
        <v>19412</v>
      </c>
      <c r="C9" s="10">
        <v>6</v>
      </c>
      <c r="D9" s="6" t="s">
        <v>27</v>
      </c>
      <c r="E9" s="6" t="s">
        <v>31</v>
      </c>
      <c r="F9" s="6" t="s">
        <v>32</v>
      </c>
    </row>
    <row r="10" spans="1:6" x14ac:dyDescent="0.35">
      <c r="A10" s="6" t="s">
        <v>33</v>
      </c>
      <c r="B10" s="7">
        <v>27839</v>
      </c>
      <c r="C10" s="10">
        <v>5</v>
      </c>
      <c r="D10" s="6" t="s">
        <v>34</v>
      </c>
      <c r="E10" s="6" t="s">
        <v>35</v>
      </c>
      <c r="F10" s="6" t="s">
        <v>36</v>
      </c>
    </row>
    <row r="11" spans="1:6" x14ac:dyDescent="0.35">
      <c r="A11" s="6" t="s">
        <v>37</v>
      </c>
      <c r="B11" s="7">
        <v>19632</v>
      </c>
      <c r="C11" s="10">
        <v>19</v>
      </c>
      <c r="D11" s="6" t="s">
        <v>27</v>
      </c>
      <c r="E11" s="6" t="s">
        <v>38</v>
      </c>
      <c r="F11" s="6" t="s">
        <v>39</v>
      </c>
    </row>
    <row r="12" spans="1:6" x14ac:dyDescent="0.35">
      <c r="A12" s="6" t="s">
        <v>33</v>
      </c>
      <c r="B12" s="7">
        <v>27839</v>
      </c>
      <c r="C12" s="10">
        <v>5</v>
      </c>
      <c r="D12" s="6" t="s">
        <v>34</v>
      </c>
      <c r="E12" s="6" t="s">
        <v>35</v>
      </c>
      <c r="F12" s="6" t="s">
        <v>36</v>
      </c>
    </row>
    <row r="19" spans="1:6" x14ac:dyDescent="0.35">
      <c r="A19" s="14" t="s">
        <v>62</v>
      </c>
      <c r="B19" s="14"/>
      <c r="C19" s="14"/>
      <c r="D19" s="14"/>
      <c r="E19" s="14"/>
      <c r="F19" s="14"/>
    </row>
    <row r="21" spans="1:6" x14ac:dyDescent="0.35">
      <c r="A21" s="3" t="s">
        <v>0</v>
      </c>
      <c r="B21" s="4" t="s">
        <v>1</v>
      </c>
      <c r="C21" s="5" t="s">
        <v>2</v>
      </c>
      <c r="D21" s="3" t="s">
        <v>3</v>
      </c>
      <c r="E21" s="3" t="s">
        <v>4</v>
      </c>
      <c r="F21" s="3" t="s">
        <v>5</v>
      </c>
    </row>
    <row r="22" spans="1:6" x14ac:dyDescent="0.35">
      <c r="A22" s="6" t="s">
        <v>6</v>
      </c>
      <c r="B22" s="7">
        <v>20636</v>
      </c>
      <c r="C22" s="6">
        <v>18</v>
      </c>
      <c r="D22" s="6" t="s">
        <v>7</v>
      </c>
      <c r="E22" s="6" t="s">
        <v>8</v>
      </c>
      <c r="F22" s="6" t="s">
        <v>9</v>
      </c>
    </row>
    <row r="23" spans="1:6" x14ac:dyDescent="0.35">
      <c r="A23" s="6" t="s">
        <v>10</v>
      </c>
      <c r="B23" s="7">
        <v>30511</v>
      </c>
      <c r="C23" s="6">
        <v>19</v>
      </c>
      <c r="D23" s="6" t="s">
        <v>11</v>
      </c>
      <c r="E23" s="6" t="s">
        <v>12</v>
      </c>
      <c r="F23" s="6" t="s">
        <v>13</v>
      </c>
    </row>
    <row r="24" spans="1:6" x14ac:dyDescent="0.35">
      <c r="A24" s="6" t="s">
        <v>14</v>
      </c>
      <c r="B24" s="7">
        <v>36838</v>
      </c>
      <c r="C24" s="6">
        <v>20</v>
      </c>
      <c r="D24" s="6" t="s">
        <v>7</v>
      </c>
      <c r="E24" s="6" t="s">
        <v>15</v>
      </c>
      <c r="F24" s="6" t="s">
        <v>16</v>
      </c>
    </row>
    <row r="25" spans="1:6" x14ac:dyDescent="0.35">
      <c r="A25" s="6" t="s">
        <v>17</v>
      </c>
      <c r="B25" s="7">
        <v>20427</v>
      </c>
      <c r="C25" s="6">
        <v>10</v>
      </c>
      <c r="D25" s="6" t="s">
        <v>11</v>
      </c>
      <c r="E25" s="6" t="s">
        <v>18</v>
      </c>
      <c r="F25" s="6" t="s">
        <v>19</v>
      </c>
    </row>
    <row r="26" spans="1:6" x14ac:dyDescent="0.35">
      <c r="A26" s="6" t="s">
        <v>20</v>
      </c>
      <c r="B26" s="7">
        <v>25487</v>
      </c>
      <c r="C26" s="6">
        <v>22</v>
      </c>
      <c r="D26" s="6" t="s">
        <v>11</v>
      </c>
      <c r="E26" s="6" t="s">
        <v>21</v>
      </c>
      <c r="F26" s="6" t="s">
        <v>22</v>
      </c>
    </row>
    <row r="27" spans="1:6" x14ac:dyDescent="0.35">
      <c r="A27" s="6" t="s">
        <v>23</v>
      </c>
      <c r="B27" s="7">
        <v>26150</v>
      </c>
      <c r="C27" s="6">
        <v>14</v>
      </c>
      <c r="D27" s="6" t="s">
        <v>11</v>
      </c>
      <c r="E27" s="6" t="s">
        <v>24</v>
      </c>
      <c r="F27" s="6" t="s">
        <v>25</v>
      </c>
    </row>
    <row r="28" spans="1:6" x14ac:dyDescent="0.35">
      <c r="A28" s="6" t="s">
        <v>26</v>
      </c>
      <c r="B28" s="7">
        <v>21247</v>
      </c>
      <c r="C28" s="6">
        <v>23</v>
      </c>
      <c r="D28" s="6" t="s">
        <v>27</v>
      </c>
      <c r="E28" s="6" t="s">
        <v>28</v>
      </c>
      <c r="F28" s="6" t="s">
        <v>29</v>
      </c>
    </row>
    <row r="29" spans="1:6" x14ac:dyDescent="0.35">
      <c r="A29" s="6" t="s">
        <v>30</v>
      </c>
      <c r="B29" s="7">
        <v>19412</v>
      </c>
      <c r="C29" s="6">
        <v>6</v>
      </c>
      <c r="D29" s="6" t="s">
        <v>27</v>
      </c>
      <c r="E29" s="6" t="s">
        <v>31</v>
      </c>
      <c r="F29" s="6" t="s">
        <v>32</v>
      </c>
    </row>
    <row r="30" spans="1:6" x14ac:dyDescent="0.35">
      <c r="A30" s="6" t="s">
        <v>33</v>
      </c>
      <c r="B30" s="7">
        <v>27839</v>
      </c>
      <c r="C30" s="6">
        <v>5</v>
      </c>
      <c r="D30" s="6" t="s">
        <v>34</v>
      </c>
      <c r="E30" s="6" t="s">
        <v>35</v>
      </c>
      <c r="F30" s="6" t="s">
        <v>36</v>
      </c>
    </row>
    <row r="31" spans="1:6" x14ac:dyDescent="0.35">
      <c r="A31" s="6" t="s">
        <v>37</v>
      </c>
      <c r="B31" s="7">
        <v>19632</v>
      </c>
      <c r="C31" s="6">
        <v>19</v>
      </c>
      <c r="D31" s="6" t="s">
        <v>27</v>
      </c>
      <c r="E31" s="6" t="s">
        <v>38</v>
      </c>
      <c r="F31" s="6" t="s">
        <v>39</v>
      </c>
    </row>
  </sheetData>
  <mergeCells count="1">
    <mergeCell ref="A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8AD8-7EFA-45C0-A424-E6F072D43AC2}">
  <dimension ref="A1:I11"/>
  <sheetViews>
    <sheetView workbookViewId="0">
      <selection sqref="A1:C7"/>
    </sheetView>
  </sheetViews>
  <sheetFormatPr defaultRowHeight="14.5" x14ac:dyDescent="0.35"/>
  <cols>
    <col min="7" max="7" width="31.453125" bestFit="1" customWidth="1"/>
    <col min="8" max="8" width="11.1796875" bestFit="1" customWidth="1"/>
    <col min="9" max="9" width="19.54296875" bestFit="1" customWidth="1"/>
  </cols>
  <sheetData>
    <row r="1" spans="1:9" x14ac:dyDescent="0.35">
      <c r="A1" s="6" t="s">
        <v>63</v>
      </c>
      <c r="B1" s="6" t="s">
        <v>70</v>
      </c>
      <c r="C1" s="6">
        <v>202</v>
      </c>
      <c r="G1" s="6" t="s">
        <v>40</v>
      </c>
      <c r="H1" s="6" t="s">
        <v>77</v>
      </c>
      <c r="I1" s="6" t="s">
        <v>78</v>
      </c>
    </row>
    <row r="2" spans="1:9" x14ac:dyDescent="0.35">
      <c r="A2" s="6" t="s">
        <v>64</v>
      </c>
      <c r="B2" s="6" t="s">
        <v>71</v>
      </c>
      <c r="C2" s="6">
        <v>504</v>
      </c>
      <c r="G2" s="9" t="s">
        <v>41</v>
      </c>
      <c r="H2" s="6" t="s">
        <v>8</v>
      </c>
      <c r="I2" s="6" t="s">
        <v>9</v>
      </c>
    </row>
    <row r="3" spans="1:9" x14ac:dyDescent="0.35">
      <c r="A3" s="6" t="s">
        <v>65</v>
      </c>
      <c r="B3" s="6" t="s">
        <v>72</v>
      </c>
      <c r="C3" s="6">
        <v>305</v>
      </c>
      <c r="G3" s="6" t="s">
        <v>42</v>
      </c>
      <c r="H3" s="6" t="s">
        <v>12</v>
      </c>
      <c r="I3" s="6" t="s">
        <v>13</v>
      </c>
    </row>
    <row r="4" spans="1:9" x14ac:dyDescent="0.35">
      <c r="A4" s="6" t="s">
        <v>66</v>
      </c>
      <c r="B4" s="6" t="s">
        <v>73</v>
      </c>
      <c r="C4" s="6">
        <v>101</v>
      </c>
      <c r="G4" s="6" t="s">
        <v>43</v>
      </c>
      <c r="H4" s="6" t="s">
        <v>15</v>
      </c>
      <c r="I4" s="6" t="s">
        <v>16</v>
      </c>
    </row>
    <row r="5" spans="1:9" x14ac:dyDescent="0.35">
      <c r="A5" s="6" t="s">
        <v>67</v>
      </c>
      <c r="B5" s="6" t="s">
        <v>74</v>
      </c>
      <c r="C5" s="6">
        <v>202</v>
      </c>
      <c r="G5" s="6" t="s">
        <v>44</v>
      </c>
      <c r="H5" s="6" t="s">
        <v>18</v>
      </c>
      <c r="I5" s="6" t="s">
        <v>19</v>
      </c>
    </row>
    <row r="6" spans="1:9" x14ac:dyDescent="0.35">
      <c r="A6" s="12" t="s">
        <v>68</v>
      </c>
      <c r="B6" s="6" t="s">
        <v>75</v>
      </c>
      <c r="C6" s="6">
        <v>414</v>
      </c>
      <c r="G6" s="6" t="s">
        <v>45</v>
      </c>
      <c r="H6" s="6" t="s">
        <v>21</v>
      </c>
      <c r="I6" s="6" t="s">
        <v>22</v>
      </c>
    </row>
    <row r="7" spans="1:9" x14ac:dyDescent="0.35">
      <c r="A7" s="6" t="s">
        <v>69</v>
      </c>
      <c r="B7" s="6" t="s">
        <v>76</v>
      </c>
      <c r="C7" s="6">
        <v>605</v>
      </c>
      <c r="G7" s="6" t="s">
        <v>46</v>
      </c>
      <c r="H7" s="6" t="s">
        <v>24</v>
      </c>
      <c r="I7" s="6" t="s">
        <v>25</v>
      </c>
    </row>
    <row r="8" spans="1:9" x14ac:dyDescent="0.35">
      <c r="G8" s="6" t="s">
        <v>47</v>
      </c>
      <c r="H8" s="6" t="s">
        <v>28</v>
      </c>
      <c r="I8" s="6" t="s">
        <v>29</v>
      </c>
    </row>
    <row r="9" spans="1:9" x14ac:dyDescent="0.35">
      <c r="G9" s="6" t="s">
        <v>48</v>
      </c>
      <c r="H9" s="6" t="s">
        <v>31</v>
      </c>
      <c r="I9" s="6" t="s">
        <v>32</v>
      </c>
    </row>
    <row r="10" spans="1:9" x14ac:dyDescent="0.35">
      <c r="G10" s="6" t="s">
        <v>49</v>
      </c>
      <c r="H10" s="6" t="s">
        <v>35</v>
      </c>
      <c r="I10" s="6" t="s">
        <v>36</v>
      </c>
    </row>
    <row r="11" spans="1:9" x14ac:dyDescent="0.35">
      <c r="G11" s="6" t="s">
        <v>50</v>
      </c>
      <c r="H11" s="6" t="s">
        <v>38</v>
      </c>
      <c r="I11" s="6" t="s">
        <v>39</v>
      </c>
    </row>
  </sheetData>
  <phoneticPr fontId="3" type="noConversion"/>
  <hyperlinks>
    <hyperlink ref="G2" r:id="rId1" xr:uid="{A3FEB01B-A7F1-493B-828B-8B36F351AD4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8C9E-7C2A-4F28-907D-8E64C662265D}">
  <dimension ref="A1:C19"/>
  <sheetViews>
    <sheetView topLeftCell="A4" workbookViewId="0">
      <selection activeCell="H20" sqref="H20"/>
    </sheetView>
  </sheetViews>
  <sheetFormatPr defaultRowHeight="14.5" x14ac:dyDescent="0.35"/>
  <cols>
    <col min="1" max="16384" width="8.7265625" style="15"/>
  </cols>
  <sheetData>
    <row r="1" spans="1:3" x14ac:dyDescent="0.35">
      <c r="A1" s="18" t="s">
        <v>109</v>
      </c>
      <c r="B1" s="18" t="s">
        <v>107</v>
      </c>
      <c r="C1" s="19" t="s">
        <v>88</v>
      </c>
    </row>
    <row r="2" spans="1:3" x14ac:dyDescent="0.35">
      <c r="A2" s="20" t="s">
        <v>95</v>
      </c>
      <c r="B2" s="21" t="s">
        <v>86</v>
      </c>
      <c r="C2" s="22">
        <v>10000</v>
      </c>
    </row>
    <row r="3" spans="1:3" x14ac:dyDescent="0.35">
      <c r="A3" s="23" t="s">
        <v>106</v>
      </c>
      <c r="B3" s="24" t="s">
        <v>86</v>
      </c>
      <c r="C3" s="25">
        <v>9000</v>
      </c>
    </row>
    <row r="4" spans="1:3" x14ac:dyDescent="0.35">
      <c r="A4" s="23" t="s">
        <v>105</v>
      </c>
      <c r="B4" s="24" t="s">
        <v>86</v>
      </c>
      <c r="C4" s="25">
        <v>12000</v>
      </c>
    </row>
    <row r="5" spans="1:3" x14ac:dyDescent="0.35">
      <c r="A5" s="23" t="s">
        <v>104</v>
      </c>
      <c r="B5" s="24" t="s">
        <v>85</v>
      </c>
      <c r="C5" s="25">
        <v>25000</v>
      </c>
    </row>
    <row r="6" spans="1:3" x14ac:dyDescent="0.35">
      <c r="A6" s="23" t="s">
        <v>103</v>
      </c>
      <c r="B6" s="24" t="s">
        <v>84</v>
      </c>
      <c r="C6" s="25">
        <v>10000</v>
      </c>
    </row>
    <row r="7" spans="1:3" x14ac:dyDescent="0.35">
      <c r="A7" s="23" t="s">
        <v>102</v>
      </c>
      <c r="B7" s="24" t="s">
        <v>101</v>
      </c>
      <c r="C7" s="25">
        <v>8000</v>
      </c>
    </row>
    <row r="8" spans="1:3" x14ac:dyDescent="0.35">
      <c r="A8" s="23" t="s">
        <v>98</v>
      </c>
      <c r="B8" s="26" t="s">
        <v>97</v>
      </c>
      <c r="C8" s="25">
        <v>20000</v>
      </c>
    </row>
    <row r="9" spans="1:3" x14ac:dyDescent="0.35">
      <c r="A9" s="27" t="s">
        <v>110</v>
      </c>
      <c r="B9" s="28" t="s">
        <v>84</v>
      </c>
      <c r="C9" s="29">
        <v>20000</v>
      </c>
    </row>
    <row r="19" spans="2:3" x14ac:dyDescent="0.35">
      <c r="B19" s="15" t="s">
        <v>100</v>
      </c>
      <c r="C19" s="15" t="s">
        <v>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208F-B0BC-40E1-BA89-EEBD551B9EE7}">
  <dimension ref="A1:D14"/>
  <sheetViews>
    <sheetView workbookViewId="0">
      <selection activeCell="A10" sqref="A10:D10"/>
    </sheetView>
  </sheetViews>
  <sheetFormatPr defaultRowHeight="14.5" x14ac:dyDescent="0.35"/>
  <cols>
    <col min="1" max="1" width="9.6328125" style="15" bestFit="1" customWidth="1"/>
    <col min="2" max="2" width="7" style="15" bestFit="1" customWidth="1"/>
    <col min="3" max="3" width="13.453125" style="15" bestFit="1" customWidth="1"/>
    <col min="4" max="4" width="7" style="15" bestFit="1" customWidth="1"/>
    <col min="5" max="16384" width="8.7265625" style="15"/>
  </cols>
  <sheetData>
    <row r="1" spans="1:4" x14ac:dyDescent="0.35">
      <c r="A1" s="31" t="s">
        <v>109</v>
      </c>
      <c r="B1" s="31" t="s">
        <v>108</v>
      </c>
      <c r="C1" s="33" t="s">
        <v>107</v>
      </c>
      <c r="D1" s="31" t="s">
        <v>88</v>
      </c>
    </row>
    <row r="2" spans="1:4" x14ac:dyDescent="0.35">
      <c r="A2" s="31" t="s">
        <v>95</v>
      </c>
      <c r="B2" s="16" t="s">
        <v>27</v>
      </c>
      <c r="C2" s="34" t="s">
        <v>86</v>
      </c>
      <c r="D2" s="30">
        <v>10000</v>
      </c>
    </row>
    <row r="3" spans="1:4" x14ac:dyDescent="0.35">
      <c r="A3" s="31" t="s">
        <v>106</v>
      </c>
      <c r="B3" s="16" t="s">
        <v>11</v>
      </c>
      <c r="C3" s="34" t="s">
        <v>86</v>
      </c>
      <c r="D3" s="30">
        <v>12000</v>
      </c>
    </row>
    <row r="4" spans="1:4" x14ac:dyDescent="0.35">
      <c r="A4" s="31" t="s">
        <v>105</v>
      </c>
      <c r="B4" s="16" t="s">
        <v>27</v>
      </c>
      <c r="C4" s="34" t="s">
        <v>86</v>
      </c>
      <c r="D4" s="30">
        <v>12000</v>
      </c>
    </row>
    <row r="5" spans="1:4" x14ac:dyDescent="0.35">
      <c r="A5" s="31" t="s">
        <v>104</v>
      </c>
      <c r="B5" s="16" t="s">
        <v>11</v>
      </c>
      <c r="C5" s="34" t="s">
        <v>85</v>
      </c>
      <c r="D5" s="30">
        <v>25000</v>
      </c>
    </row>
    <row r="6" spans="1:4" x14ac:dyDescent="0.35">
      <c r="A6" s="31" t="s">
        <v>103</v>
      </c>
      <c r="B6" s="16" t="s">
        <v>11</v>
      </c>
      <c r="C6" s="34" t="s">
        <v>84</v>
      </c>
      <c r="D6" s="30">
        <v>12000</v>
      </c>
    </row>
    <row r="7" spans="1:4" x14ac:dyDescent="0.35">
      <c r="A7" s="31" t="s">
        <v>102</v>
      </c>
      <c r="B7" s="16" t="s">
        <v>27</v>
      </c>
      <c r="C7" s="34" t="s">
        <v>101</v>
      </c>
      <c r="D7" s="30">
        <v>8000</v>
      </c>
    </row>
    <row r="8" spans="1:4" x14ac:dyDescent="0.35">
      <c r="A8" s="31" t="s">
        <v>98</v>
      </c>
      <c r="B8" s="17" t="s">
        <v>27</v>
      </c>
      <c r="C8" s="34" t="s">
        <v>97</v>
      </c>
      <c r="D8" s="30">
        <v>20000</v>
      </c>
    </row>
    <row r="9" spans="1:4" x14ac:dyDescent="0.35">
      <c r="A9" s="31" t="s">
        <v>96</v>
      </c>
      <c r="B9" s="16" t="s">
        <v>27</v>
      </c>
      <c r="C9" s="34" t="s">
        <v>84</v>
      </c>
      <c r="D9" s="30">
        <v>12000</v>
      </c>
    </row>
    <row r="10" spans="1:4" x14ac:dyDescent="0.35">
      <c r="A10" s="31" t="s">
        <v>95</v>
      </c>
      <c r="B10" s="31" t="s">
        <v>27</v>
      </c>
      <c r="C10" s="33" t="s">
        <v>82</v>
      </c>
      <c r="D10" s="30">
        <v>12125</v>
      </c>
    </row>
    <row r="13" spans="1:4" x14ac:dyDescent="0.35">
      <c r="A13" s="32" t="s">
        <v>27</v>
      </c>
      <c r="B13" s="30">
        <f>SUMIF(B2:B10,"Male",D2:D10)</f>
        <v>74125</v>
      </c>
    </row>
    <row r="14" spans="1:4" x14ac:dyDescent="0.35">
      <c r="A14" s="32" t="s">
        <v>11</v>
      </c>
      <c r="B14" s="30">
        <f>SUMIF(B2:B10,"feMale",D2:D10)</f>
        <v>49000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F011-AACD-4D97-A77B-3B934CF2936B}">
  <dimension ref="A1:D20"/>
  <sheetViews>
    <sheetView topLeftCell="A7" workbookViewId="0">
      <selection activeCell="B17" sqref="B17:B20"/>
    </sheetView>
  </sheetViews>
  <sheetFormatPr defaultRowHeight="14.5" x14ac:dyDescent="0.35"/>
  <cols>
    <col min="1" max="1" width="10" bestFit="1" customWidth="1"/>
    <col min="2" max="2" width="9" customWidth="1"/>
    <col min="3" max="3" width="13.26953125" bestFit="1" customWidth="1"/>
    <col min="4" max="4" width="8.36328125" bestFit="1" customWidth="1"/>
  </cols>
  <sheetData>
    <row r="1" spans="1:4" x14ac:dyDescent="0.35">
      <c r="A1" s="36" t="s">
        <v>109</v>
      </c>
      <c r="B1" s="36" t="s">
        <v>108</v>
      </c>
      <c r="C1" s="37" t="s">
        <v>87</v>
      </c>
      <c r="D1" s="38" t="s">
        <v>111</v>
      </c>
    </row>
    <row r="2" spans="1:4" x14ac:dyDescent="0.35">
      <c r="A2" s="42" t="s">
        <v>95</v>
      </c>
      <c r="B2" s="42" t="s">
        <v>27</v>
      </c>
      <c r="C2" s="42" t="s">
        <v>86</v>
      </c>
      <c r="D2" s="43">
        <v>10000</v>
      </c>
    </row>
    <row r="3" spans="1:4" x14ac:dyDescent="0.35">
      <c r="A3" s="44" t="s">
        <v>106</v>
      </c>
      <c r="B3" s="42" t="s">
        <v>11</v>
      </c>
      <c r="C3" s="44" t="s">
        <v>86</v>
      </c>
      <c r="D3" s="45">
        <v>12000</v>
      </c>
    </row>
    <row r="4" spans="1:4" x14ac:dyDescent="0.35">
      <c r="A4" s="42" t="s">
        <v>105</v>
      </c>
      <c r="B4" s="42" t="s">
        <v>27</v>
      </c>
      <c r="C4" s="42" t="s">
        <v>86</v>
      </c>
      <c r="D4" s="43">
        <v>12000</v>
      </c>
    </row>
    <row r="5" spans="1:4" x14ac:dyDescent="0.35">
      <c r="A5" s="44" t="s">
        <v>104</v>
      </c>
      <c r="B5" s="42" t="s">
        <v>11</v>
      </c>
      <c r="C5" s="44" t="s">
        <v>85</v>
      </c>
      <c r="D5" s="45">
        <v>25000</v>
      </c>
    </row>
    <row r="6" spans="1:4" x14ac:dyDescent="0.35">
      <c r="A6" s="42" t="s">
        <v>103</v>
      </c>
      <c r="B6" s="42" t="s">
        <v>11</v>
      </c>
      <c r="C6" s="42" t="s">
        <v>84</v>
      </c>
      <c r="D6" s="43">
        <v>12000</v>
      </c>
    </row>
    <row r="7" spans="1:4" x14ac:dyDescent="0.35">
      <c r="A7" s="44" t="s">
        <v>102</v>
      </c>
      <c r="B7" s="42" t="s">
        <v>27</v>
      </c>
      <c r="C7" s="44" t="s">
        <v>101</v>
      </c>
      <c r="D7" s="45">
        <v>8000</v>
      </c>
    </row>
    <row r="8" spans="1:4" x14ac:dyDescent="0.35">
      <c r="A8" s="42" t="s">
        <v>98</v>
      </c>
      <c r="B8" s="42" t="s">
        <v>27</v>
      </c>
      <c r="C8" s="42" t="s">
        <v>97</v>
      </c>
      <c r="D8" s="43">
        <v>20000</v>
      </c>
    </row>
    <row r="9" spans="1:4" x14ac:dyDescent="0.35">
      <c r="A9" s="44" t="s">
        <v>96</v>
      </c>
      <c r="B9" s="42" t="s">
        <v>27</v>
      </c>
      <c r="C9" s="44" t="s">
        <v>84</v>
      </c>
      <c r="D9" s="45">
        <v>12000</v>
      </c>
    </row>
    <row r="16" spans="1:4" x14ac:dyDescent="0.35">
      <c r="A16" s="13" t="s">
        <v>87</v>
      </c>
      <c r="B16" s="35" t="s">
        <v>90</v>
      </c>
    </row>
    <row r="17" spans="1:2" x14ac:dyDescent="0.35">
      <c r="A17" s="41" t="s">
        <v>86</v>
      </c>
      <c r="B17" s="40">
        <f>SUMIF(C2:C9,"maadi",D2:D9)</f>
        <v>34000</v>
      </c>
    </row>
    <row r="18" spans="1:2" x14ac:dyDescent="0.35">
      <c r="A18" s="39" t="s">
        <v>85</v>
      </c>
      <c r="B18" s="40">
        <f>SUMIF(C3:C14,"zayed",D3:D14)</f>
        <v>25000</v>
      </c>
    </row>
    <row r="19" spans="1:2" x14ac:dyDescent="0.35">
      <c r="A19" s="41" t="s">
        <v>84</v>
      </c>
      <c r="B19" s="40">
        <f>SUMIF(C4:C15,"dokki",D4:D15)</f>
        <v>24000</v>
      </c>
    </row>
    <row r="20" spans="1:2" x14ac:dyDescent="0.35">
      <c r="A20" s="39" t="s">
        <v>112</v>
      </c>
      <c r="B20" s="40">
        <f>SUMIF(C5:C16,"6th Of October",D5:D16)</f>
        <v>20000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1B7A-C17C-4C9D-AECD-4B58EA318E5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CC4-7676-455B-B000-660DD5F4285A}">
  <dimension ref="A1:O23"/>
  <sheetViews>
    <sheetView tabSelected="1" workbookViewId="0">
      <selection activeCell="N1" sqref="N1:O9"/>
    </sheetView>
  </sheetViews>
  <sheetFormatPr defaultRowHeight="14.5" x14ac:dyDescent="0.35"/>
  <cols>
    <col min="1" max="1" width="14.54296875" bestFit="1" customWidth="1"/>
    <col min="2" max="2" width="8.36328125" bestFit="1" customWidth="1"/>
    <col min="3" max="3" width="13.6328125" bestFit="1" customWidth="1"/>
    <col min="4" max="4" width="8.36328125" bestFit="1" customWidth="1"/>
    <col min="5" max="5" width="7.453125" bestFit="1" customWidth="1"/>
    <col min="6" max="6" width="13.6328125" bestFit="1" customWidth="1"/>
    <col min="7" max="7" width="5.36328125" bestFit="1" customWidth="1"/>
    <col min="8" max="8" width="13.6328125" bestFit="1" customWidth="1"/>
    <col min="9" max="9" width="6.453125" bestFit="1" customWidth="1"/>
    <col min="11" max="11" width="13.90625" bestFit="1" customWidth="1"/>
    <col min="12" max="12" width="34.453125" bestFit="1" customWidth="1"/>
  </cols>
  <sheetData>
    <row r="1" spans="1:15" x14ac:dyDescent="0.35">
      <c r="A1" s="13" t="s">
        <v>109</v>
      </c>
      <c r="B1" s="13" t="s">
        <v>108</v>
      </c>
      <c r="C1" s="35" t="s">
        <v>87</v>
      </c>
      <c r="D1" s="35" t="s">
        <v>111</v>
      </c>
      <c r="N1" s="6" t="s">
        <v>89</v>
      </c>
      <c r="O1" s="6" t="s">
        <v>88</v>
      </c>
    </row>
    <row r="2" spans="1:15" x14ac:dyDescent="0.35">
      <c r="A2" s="40" t="s">
        <v>95</v>
      </c>
      <c r="B2" s="40" t="s">
        <v>27</v>
      </c>
      <c r="C2" s="40" t="s">
        <v>86</v>
      </c>
      <c r="D2" s="40">
        <v>10000</v>
      </c>
      <c r="N2" s="6">
        <v>45834</v>
      </c>
      <c r="O2" s="6">
        <v>10000</v>
      </c>
    </row>
    <row r="3" spans="1:15" x14ac:dyDescent="0.35">
      <c r="A3" s="40" t="s">
        <v>106</v>
      </c>
      <c r="B3" s="40" t="s">
        <v>11</v>
      </c>
      <c r="C3" s="40" t="s">
        <v>86</v>
      </c>
      <c r="D3" s="40">
        <v>12000</v>
      </c>
      <c r="N3" s="6">
        <v>45677</v>
      </c>
      <c r="O3" s="6">
        <v>12000</v>
      </c>
    </row>
    <row r="4" spans="1:15" x14ac:dyDescent="0.35">
      <c r="A4" s="40" t="s">
        <v>105</v>
      </c>
      <c r="B4" s="40" t="s">
        <v>27</v>
      </c>
      <c r="C4" s="40" t="s">
        <v>86</v>
      </c>
      <c r="D4" s="40">
        <v>12000</v>
      </c>
      <c r="N4" s="6">
        <v>44849</v>
      </c>
      <c r="O4" s="6">
        <v>12000</v>
      </c>
    </row>
    <row r="5" spans="1:15" x14ac:dyDescent="0.35">
      <c r="A5" s="40" t="s">
        <v>104</v>
      </c>
      <c r="B5" s="40" t="s">
        <v>11</v>
      </c>
      <c r="C5" s="40" t="s">
        <v>85</v>
      </c>
      <c r="D5" s="40">
        <v>25000</v>
      </c>
      <c r="N5" s="6">
        <v>44776</v>
      </c>
      <c r="O5" s="6">
        <v>25000</v>
      </c>
    </row>
    <row r="6" spans="1:15" x14ac:dyDescent="0.35">
      <c r="A6" s="40" t="s">
        <v>103</v>
      </c>
      <c r="B6" s="40" t="s">
        <v>11</v>
      </c>
      <c r="C6" s="40" t="s">
        <v>84</v>
      </c>
      <c r="D6" s="40">
        <v>12000</v>
      </c>
      <c r="N6" s="6">
        <v>44467</v>
      </c>
      <c r="O6" s="6">
        <v>12000</v>
      </c>
    </row>
    <row r="7" spans="1:15" x14ac:dyDescent="0.35">
      <c r="A7" s="40" t="s">
        <v>102</v>
      </c>
      <c r="B7" s="40" t="s">
        <v>27</v>
      </c>
      <c r="C7" s="40" t="s">
        <v>101</v>
      </c>
      <c r="D7" s="40">
        <v>8000</v>
      </c>
      <c r="N7" s="6">
        <v>44428</v>
      </c>
      <c r="O7" s="6">
        <v>8000</v>
      </c>
    </row>
    <row r="8" spans="1:15" x14ac:dyDescent="0.35">
      <c r="A8" s="40" t="s">
        <v>98</v>
      </c>
      <c r="B8" s="40" t="s">
        <v>27</v>
      </c>
      <c r="C8" s="40" t="s">
        <v>97</v>
      </c>
      <c r="D8" s="40">
        <v>20000</v>
      </c>
      <c r="N8" s="6">
        <v>44407</v>
      </c>
      <c r="O8" s="6">
        <v>20000</v>
      </c>
    </row>
    <row r="9" spans="1:15" x14ac:dyDescent="0.35">
      <c r="A9" s="40" t="s">
        <v>96</v>
      </c>
      <c r="B9" s="40" t="s">
        <v>27</v>
      </c>
      <c r="C9" s="40" t="s">
        <v>84</v>
      </c>
      <c r="D9" s="40">
        <v>12000</v>
      </c>
      <c r="N9" s="6">
        <v>43926</v>
      </c>
      <c r="O9" s="6">
        <v>12000</v>
      </c>
    </row>
    <row r="10" spans="1:15" x14ac:dyDescent="0.35">
      <c r="A10" s="40" t="s">
        <v>95</v>
      </c>
      <c r="B10" s="40" t="s">
        <v>27</v>
      </c>
      <c r="C10" s="40" t="s">
        <v>82</v>
      </c>
      <c r="D10" s="40">
        <v>12125</v>
      </c>
    </row>
    <row r="11" spans="1:15" x14ac:dyDescent="0.35">
      <c r="A11" s="40" t="s">
        <v>94</v>
      </c>
      <c r="B11" s="40" t="s">
        <v>11</v>
      </c>
      <c r="C11" s="40" t="s">
        <v>81</v>
      </c>
      <c r="D11" s="40">
        <v>7122</v>
      </c>
    </row>
    <row r="12" spans="1:15" x14ac:dyDescent="0.35">
      <c r="A12" s="40" t="s">
        <v>93</v>
      </c>
      <c r="B12" s="40" t="s">
        <v>92</v>
      </c>
      <c r="C12" s="40" t="s">
        <v>80</v>
      </c>
      <c r="D12" s="40">
        <v>8743</v>
      </c>
    </row>
    <row r="13" spans="1:15" x14ac:dyDescent="0.35">
      <c r="A13" s="40" t="s">
        <v>91</v>
      </c>
      <c r="B13" s="40" t="s">
        <v>27</v>
      </c>
      <c r="C13" s="40" t="s">
        <v>79</v>
      </c>
      <c r="D13" s="40">
        <v>87875</v>
      </c>
    </row>
    <row r="15" spans="1:15" x14ac:dyDescent="0.35">
      <c r="A15" s="35" t="s">
        <v>87</v>
      </c>
      <c r="B15" s="35" t="s">
        <v>90</v>
      </c>
    </row>
    <row r="16" spans="1:15" x14ac:dyDescent="0.35">
      <c r="A16" s="40" t="s">
        <v>86</v>
      </c>
      <c r="B16" s="40">
        <f>SUMIF(C2:C13,"maadi",D2:D13)</f>
        <v>34000</v>
      </c>
    </row>
    <row r="17" spans="1:2" x14ac:dyDescent="0.35">
      <c r="A17" s="40" t="s">
        <v>85</v>
      </c>
      <c r="B17" s="40">
        <f>SUMIF(C2:C13,"zayed",D2:D13)</f>
        <v>25000</v>
      </c>
    </row>
    <row r="18" spans="1:2" x14ac:dyDescent="0.35">
      <c r="A18" s="40" t="s">
        <v>84</v>
      </c>
      <c r="B18" s="40">
        <f>SUMIF(C2:C13,"dokki",D2:D13)</f>
        <v>24000</v>
      </c>
    </row>
    <row r="19" spans="1:2" x14ac:dyDescent="0.35">
      <c r="A19" s="40" t="s">
        <v>83</v>
      </c>
      <c r="B19" s="40">
        <f>SUMIF(C2:C13,"6Th Of October",D2:D13)</f>
        <v>20000</v>
      </c>
    </row>
    <row r="20" spans="1:2" x14ac:dyDescent="0.35">
      <c r="A20" s="40" t="s">
        <v>82</v>
      </c>
      <c r="B20" s="40">
        <f>SUMIF(C2:C13,"faisal",D2:D13)</f>
        <v>12125</v>
      </c>
    </row>
    <row r="21" spans="1:2" x14ac:dyDescent="0.35">
      <c r="A21" s="40" t="s">
        <v>81</v>
      </c>
      <c r="B21" s="40">
        <f>SUMIF(C2:C13,"tagamoa",D2:D13)</f>
        <v>7122</v>
      </c>
    </row>
    <row r="22" spans="1:2" x14ac:dyDescent="0.35">
      <c r="A22" s="40" t="s">
        <v>80</v>
      </c>
      <c r="B22" s="40">
        <f>SUMIF(C2:C13,"nasr city",D2:D13)</f>
        <v>8743</v>
      </c>
    </row>
    <row r="23" spans="1:2" x14ac:dyDescent="0.35">
      <c r="A23" s="40" t="s">
        <v>79</v>
      </c>
      <c r="B23" s="40">
        <f>SUMIF(C2:C13,"mohandseen",D2:D13)</f>
        <v>87875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before cleaning</vt:lpstr>
      <vt:lpstr>Clean Data</vt:lpstr>
      <vt:lpstr>Convert Number</vt:lpstr>
      <vt:lpstr>Flash fill</vt:lpstr>
      <vt:lpstr>DV(1)</vt:lpstr>
      <vt:lpstr>DV(2)</vt:lpstr>
      <vt:lpstr>DV(3)</vt:lpstr>
      <vt:lpstr>DV(4)</vt:lpstr>
      <vt:lpstr>Data Visul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2026-02-04T15:55:13Z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2021-09-28T19:19:37Z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f8edd8b5-ecbd-4d4d-b53d-336b44df2dc7</vt:lpwstr>
  </property>
  <property fmtid="{D5CDD505-2E9C-101B-9397-08002B2CF9AE}" pid="8" name="MSIP_Label_abf2ea38-542c-4b75-bd7d-582ec36a519f_ContentBits">
    <vt:lpwstr>2</vt:lpwstr>
  </property>
</Properties>
</file>