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HMED\depi\Week 6\S1\"/>
    </mc:Choice>
  </mc:AlternateContent>
  <xr:revisionPtr revIDLastSave="0" documentId="13_ncr:1_{14FB7B0F-9109-4638-B60C-4E8698EB6B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L5" i="2" a="1"/>
  <c r="L5" i="2" s="1"/>
  <c r="H5" i="2"/>
  <c r="I5" i="2"/>
  <c r="A15" i="2" a="1"/>
  <c r="P5" i="2" l="1"/>
  <c r="A15" i="2"/>
  <c r="Q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<sst xmlns="http://schemas.openxmlformats.org/spreadsheetml/2006/main" count="40" uniqueCount="27">
  <si>
    <t>Tagamoa</t>
  </si>
  <si>
    <t>Dokki</t>
  </si>
  <si>
    <t>Ahmed</t>
  </si>
  <si>
    <t>Mona</t>
  </si>
  <si>
    <t>Ali</t>
  </si>
  <si>
    <t>Name</t>
  </si>
  <si>
    <t>Hany</t>
  </si>
  <si>
    <t>Shimaa</t>
  </si>
  <si>
    <t>Madinty</t>
  </si>
  <si>
    <t>Hager</t>
  </si>
  <si>
    <t>Faysal</t>
  </si>
  <si>
    <t>Islam</t>
  </si>
  <si>
    <t>Ebram</t>
  </si>
  <si>
    <t>Shahd</t>
  </si>
  <si>
    <t>Harram</t>
  </si>
  <si>
    <t>Sale</t>
  </si>
  <si>
    <t>Regoin</t>
  </si>
  <si>
    <t>Region</t>
  </si>
  <si>
    <t>Maddi</t>
  </si>
  <si>
    <t>Hanaa</t>
  </si>
  <si>
    <t>Hlookup</t>
  </si>
  <si>
    <t>xlookup</t>
  </si>
  <si>
    <t>Vlookup</t>
  </si>
  <si>
    <t>Mohammed</t>
  </si>
  <si>
    <t xml:space="preserve">Name </t>
  </si>
  <si>
    <t>mona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</si>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</sst>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4"/>
      <color theme="0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0" fontId="1" fillId="4" borderId="1" xfId="1" applyFill="1" applyBorder="1"/>
    <xf numFmtId="0" fontId="1" fillId="5" borderId="1" xfId="1" applyFill="1" applyBorder="1"/>
    <xf numFmtId="0" fontId="2" fillId="6" borderId="1" xfId="2" applyFont="1" applyFill="1" applyBorder="1"/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/>
    </xf>
    <xf numFmtId="0" fontId="3" fillId="3" borderId="2" xfId="2" applyBorder="1" applyAlignment="1">
      <alignment horizontal="center"/>
    </xf>
    <xf numFmtId="0" fontId="3" fillId="3" borderId="3" xfId="2" applyBorder="1" applyAlignment="1">
      <alignment horizontal="center"/>
    </xf>
    <xf numFmtId="0" fontId="3" fillId="3" borderId="4" xfId="2" applyBorder="1" applyAlignment="1">
      <alignment horizontal="center"/>
    </xf>
  </cellXfs>
  <cellStyles count="3">
    <cellStyle name="60% - Accent1" xfId="1" builtinId="32"/>
    <cellStyle name="Accent5" xfId="2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1CE52-CFC3-4136-9663-C6971A1281E2}" name="Table4" displayName="Table4" ref="A1:C12" totalsRowShown="0">
  <autoFilter ref="A1:C12" xr:uid="{3427EA62-9F5C-4D2F-9D21-9AD07D1A53AD}"/>
  <tableColumns count="3">
    <tableColumn id="1" xr3:uid="{4C2800D4-A427-46C8-B150-2B5062232211}" name="Name "/>
    <tableColumn id="2" xr3:uid="{69C0EE18-D8F8-4274-A147-21D30B566870}" name="Region"/>
    <tableColumn id="3" xr3:uid="{A382B405-29E3-46CA-871F-E1A109FA7099}" name="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D588-B9B1-4477-85EE-26A91C651AA5}">
  <dimension ref="A1:Q17"/>
  <sheetViews>
    <sheetView tabSelected="1" topLeftCell="B1" workbookViewId="0">
      <selection activeCell="T6" sqref="T6"/>
    </sheetView>
  </sheetViews>
  <sheetFormatPr defaultRowHeight="14.5" x14ac:dyDescent="0.35"/>
  <cols>
    <col min="1" max="1" width="11.08984375" bestFit="1" customWidth="1"/>
    <col min="3" max="3" width="12.90625" bestFit="1" customWidth="1"/>
    <col min="4" max="4" width="7.6328125" bestFit="1" customWidth="1"/>
    <col min="5" max="5" width="8.36328125" bestFit="1" customWidth="1"/>
    <col min="6" max="6" width="7.54296875" bestFit="1" customWidth="1"/>
    <col min="7" max="7" width="10" bestFit="1" customWidth="1"/>
    <col min="8" max="8" width="9.54296875" bestFit="1" customWidth="1"/>
    <col min="9" max="9" width="7.54296875" bestFit="1" customWidth="1"/>
    <col min="10" max="10" width="9.54296875" bestFit="1" customWidth="1"/>
    <col min="11" max="11" width="10" bestFit="1" customWidth="1"/>
    <col min="12" max="12" width="8.26953125" bestFit="1" customWidth="1"/>
    <col min="13" max="13" width="5.81640625" bestFit="1" customWidth="1"/>
    <col min="15" max="15" width="6.81640625" bestFit="1" customWidth="1"/>
    <col min="16" max="16" width="8.26953125" bestFit="1" customWidth="1"/>
    <col min="17" max="17" width="5.81640625" bestFit="1" customWidth="1"/>
  </cols>
  <sheetData>
    <row r="1" spans="1:17" x14ac:dyDescent="0.35">
      <c r="A1" t="s">
        <v>24</v>
      </c>
      <c r="B1" t="s">
        <v>17</v>
      </c>
      <c r="C1" t="s">
        <v>15</v>
      </c>
    </row>
    <row r="2" spans="1:17" x14ac:dyDescent="0.35">
      <c r="A2" t="s">
        <v>2</v>
      </c>
      <c r="B2" t="s">
        <v>14</v>
      </c>
      <c r="C2">
        <v>25000</v>
      </c>
    </row>
    <row r="3" spans="1:17" ht="18" x14ac:dyDescent="0.4">
      <c r="A3" t="s">
        <v>23</v>
      </c>
      <c r="B3" t="s">
        <v>1</v>
      </c>
      <c r="C3">
        <v>12500</v>
      </c>
      <c r="G3" s="5" t="s">
        <v>22</v>
      </c>
      <c r="H3" s="5"/>
      <c r="I3" s="5"/>
      <c r="K3" s="6" t="s">
        <v>21</v>
      </c>
      <c r="L3" s="7"/>
      <c r="M3" s="8"/>
      <c r="O3" s="5" t="s">
        <v>20</v>
      </c>
      <c r="P3" s="5"/>
      <c r="Q3" s="5"/>
    </row>
    <row r="4" spans="1:17" ht="18" x14ac:dyDescent="0.35">
      <c r="A4" t="s">
        <v>19</v>
      </c>
      <c r="B4" t="s">
        <v>18</v>
      </c>
      <c r="C4">
        <v>25662</v>
      </c>
      <c r="G4" s="4" t="s">
        <v>5</v>
      </c>
      <c r="H4" s="4" t="s">
        <v>17</v>
      </c>
      <c r="I4" s="4" t="s">
        <v>15</v>
      </c>
      <c r="K4" s="4" t="s">
        <v>5</v>
      </c>
      <c r="L4" s="4" t="s">
        <v>17</v>
      </c>
      <c r="M4" s="4" t="s">
        <v>15</v>
      </c>
      <c r="O4" s="4" t="s">
        <v>5</v>
      </c>
      <c r="P4" s="4" t="s">
        <v>16</v>
      </c>
      <c r="Q4" s="4" t="s">
        <v>15</v>
      </c>
    </row>
    <row r="5" spans="1:17" x14ac:dyDescent="0.35">
      <c r="A5" t="s">
        <v>3</v>
      </c>
      <c r="B5" t="s">
        <v>14</v>
      </c>
      <c r="C5">
        <v>7110</v>
      </c>
      <c r="G5" s="3" t="s">
        <v>9</v>
      </c>
      <c r="H5" s="3" t="str">
        <f>VLOOKUP(G5,Table4[#All],2,0)</f>
        <v>Madinty</v>
      </c>
      <c r="I5" s="3">
        <f>VLOOKUP(G5,Table4[#All],3,0)</f>
        <v>4521</v>
      </c>
      <c r="K5" s="3" t="s">
        <v>26</v>
      </c>
      <c r="L5" s="3" t="str" cm="1">
        <f t="array" ref="L5">_xlfn.XLOOKUP(K5,Table4[[#All],[Name ]],Table4[[#All],[Region]],"مش موجود",0)</f>
        <v>Faysal</v>
      </c>
      <c r="M5" s="3"/>
      <c r="O5" s="3" t="s">
        <v>25</v>
      </c>
      <c r="P5" s="3" t="str">
        <f>HLOOKUP(O5,_xlfn.ANCHORARRAY(A15),2,0)</f>
        <v>Harram</v>
      </c>
      <c r="Q5" s="3">
        <f>HLOOKUP(O5,_xlfn.ANCHORARRAY(A15),3,0)</f>
        <v>7110</v>
      </c>
    </row>
    <row r="6" spans="1:17" x14ac:dyDescent="0.35">
      <c r="A6" t="s">
        <v>4</v>
      </c>
      <c r="B6" t="s">
        <v>10</v>
      </c>
      <c r="C6">
        <v>12125</v>
      </c>
      <c r="K6" s="3"/>
      <c r="L6" s="3"/>
      <c r="M6" s="3">
        <f>_xlfn.XLOOKUP(K5,A15:L15,A17:L17,"ملوش",0)</f>
        <v>12125</v>
      </c>
    </row>
    <row r="7" spans="1:17" x14ac:dyDescent="0.35">
      <c r="A7" t="s">
        <v>13</v>
      </c>
      <c r="B7" t="s">
        <v>0</v>
      </c>
      <c r="C7">
        <v>7122</v>
      </c>
    </row>
    <row r="8" spans="1:17" x14ac:dyDescent="0.35">
      <c r="A8" t="s">
        <v>12</v>
      </c>
      <c r="B8" t="s">
        <v>8</v>
      </c>
      <c r="C8">
        <v>17852</v>
      </c>
    </row>
    <row r="9" spans="1:17" x14ac:dyDescent="0.35">
      <c r="A9" t="s">
        <v>11</v>
      </c>
      <c r="B9" t="s">
        <v>10</v>
      </c>
      <c r="C9">
        <v>9852</v>
      </c>
    </row>
    <row r="10" spans="1:17" x14ac:dyDescent="0.35">
      <c r="A10" t="s">
        <v>9</v>
      </c>
      <c r="B10" t="s">
        <v>8</v>
      </c>
      <c r="C10">
        <v>4521</v>
      </c>
    </row>
    <row r="11" spans="1:17" x14ac:dyDescent="0.35">
      <c r="A11" t="s">
        <v>7</v>
      </c>
      <c r="B11" t="s">
        <v>0</v>
      </c>
      <c r="C11">
        <v>12365</v>
      </c>
    </row>
    <row r="12" spans="1:17" x14ac:dyDescent="0.35">
      <c r="A12" t="s">
        <v>6</v>
      </c>
      <c r="B12" t="s">
        <v>1</v>
      </c>
      <c r="C12">
        <v>30000</v>
      </c>
    </row>
    <row r="15" spans="1:17" ht="18" x14ac:dyDescent="0.4">
      <c r="A15" s="2" t="str" cm="1">
        <f t="array" ref="A15:L17">TRANSPOSE(Table4[#All])</f>
        <v xml:space="preserve">Name </v>
      </c>
      <c r="B15" s="1" t="str">
        <v>Ahmed</v>
      </c>
      <c r="C15" s="1" t="str">
        <v>Mohammed</v>
      </c>
      <c r="D15" s="1" t="str">
        <v>Hanaa</v>
      </c>
      <c r="E15" s="1" t="str">
        <v>Mona</v>
      </c>
      <c r="F15" s="1" t="str">
        <v>Ali</v>
      </c>
      <c r="G15" s="1" t="str">
        <v>Shahd</v>
      </c>
      <c r="H15" s="1" t="str">
        <v>Ebram</v>
      </c>
      <c r="I15" s="1" t="str">
        <v>Islam</v>
      </c>
      <c r="J15" s="1" t="str">
        <v>Hager</v>
      </c>
      <c r="K15" s="1" t="str">
        <v>Shimaa</v>
      </c>
      <c r="L15" s="1" t="str">
        <v>Hany</v>
      </c>
    </row>
    <row r="16" spans="1:17" ht="18" x14ac:dyDescent="0.4">
      <c r="A16" s="2" t="str">
        <v>Region</v>
      </c>
      <c r="B16" s="1" t="str">
        <v>Harram</v>
      </c>
      <c r="C16" s="1" t="str">
        <v>Dokki</v>
      </c>
      <c r="D16" s="1" t="str">
        <v>Maddi</v>
      </c>
      <c r="E16" s="1" t="str">
        <v>Harram</v>
      </c>
      <c r="F16" s="1" t="str">
        <v>Faysal</v>
      </c>
      <c r="G16" s="1" t="str">
        <v>Tagamoa</v>
      </c>
      <c r="H16" s="1" t="str">
        <v>Madinty</v>
      </c>
      <c r="I16" s="1" t="str">
        <v>Faysal</v>
      </c>
      <c r="J16" s="1" t="str">
        <v>Madinty</v>
      </c>
      <c r="K16" s="1" t="str">
        <v>Tagamoa</v>
      </c>
      <c r="L16" s="1" t="str">
        <v>Dokki</v>
      </c>
    </row>
    <row r="17" spans="1:12" ht="18" x14ac:dyDescent="0.4">
      <c r="A17" s="2" t="str">
        <v>Sale</v>
      </c>
      <c r="B17" s="1">
        <v>25000</v>
      </c>
      <c r="C17" s="1">
        <v>12500</v>
      </c>
      <c r="D17" s="1">
        <v>25662</v>
      </c>
      <c r="E17" s="1">
        <v>7110</v>
      </c>
      <c r="F17" s="1">
        <v>12125</v>
      </c>
      <c r="G17" s="1">
        <v>7122</v>
      </c>
      <c r="H17" s="1">
        <v>17852</v>
      </c>
      <c r="I17" s="1">
        <v>9852</v>
      </c>
      <c r="J17" s="1">
        <v>4521</v>
      </c>
      <c r="K17" s="1">
        <v>12365</v>
      </c>
      <c r="L17" s="1">
        <v>30000</v>
      </c>
    </row>
  </sheetData>
  <mergeCells count="3">
    <mergeCell ref="G3:I3"/>
    <mergeCell ref="O3:Q3"/>
    <mergeCell ref="K3:M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Fathy</dc:creator>
  <cp:lastModifiedBy>احمد فتحى كمال مشرف</cp:lastModifiedBy>
  <dcterms:created xsi:type="dcterms:W3CDTF">2015-06-05T18:17:20Z</dcterms:created>
  <dcterms:modified xsi:type="dcterms:W3CDTF">2026-02-03T16:13:10Z</dcterms:modified>
</cp:coreProperties>
</file>