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9"/>
  <workbookPr/>
  <mc:AlternateContent xmlns:mc="http://schemas.openxmlformats.org/markup-compatibility/2006">
    <mc:Choice Requires="x15">
      <x15ac:absPath xmlns:x15ac="http://schemas.microsoft.com/office/spreadsheetml/2010/11/ac" url="D:\AHMED\depi\"/>
    </mc:Choice>
  </mc:AlternateContent>
  <xr:revisionPtr revIDLastSave="4" documentId="13_ncr:1_{18BDCE71-D546-441E-A12A-916E593799A2}" xr6:coauthVersionLast="47" xr6:coauthVersionMax="47" xr10:uidLastSave="{E5FBB64D-1990-45D1-BB47-A90A27DB2E3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7" i="1"/>
  <c r="G6" i="1"/>
  <c r="G5" i="1"/>
  <c r="G4" i="1"/>
  <c r="H6" i="1" l="1"/>
  <c r="H5" i="1"/>
  <c r="I5" i="1" s="1"/>
  <c r="H7" i="1"/>
  <c r="I7" i="1" s="1"/>
  <c r="H4" i="1"/>
  <c r="I4" i="1" s="1"/>
  <c r="J4" i="1" s="1"/>
  <c r="H8" i="1"/>
  <c r="I8" i="1" s="1"/>
  <c r="J8" i="1" l="1"/>
  <c r="J5" i="1"/>
  <c r="J7" i="1"/>
  <c r="I6" i="1"/>
  <c r="J6" i="1" s="1"/>
</calcChain>
</file>

<file path=xl/sharedStrings.xml><?xml version="1.0" encoding="utf-8"?>
<sst xmlns="http://schemas.openxmlformats.org/spreadsheetml/2006/main" count="35" uniqueCount="32">
  <si>
    <t xml:space="preserve">YAT  Salary </t>
  </si>
  <si>
    <t>Bonus=salary *2%</t>
  </si>
  <si>
    <t>Name</t>
  </si>
  <si>
    <t>City</t>
  </si>
  <si>
    <t>phone</t>
  </si>
  <si>
    <t>Department</t>
  </si>
  <si>
    <t>Date of hire</t>
  </si>
  <si>
    <t>salary</t>
  </si>
  <si>
    <t>Bonus</t>
  </si>
  <si>
    <t>tax</t>
  </si>
  <si>
    <t>ins</t>
  </si>
  <si>
    <t>total</t>
  </si>
  <si>
    <t>Tax=salary+bouns/2*0.01</t>
  </si>
  <si>
    <t>Ali</t>
  </si>
  <si>
    <t>Maddi</t>
  </si>
  <si>
    <t>01006547894</t>
  </si>
  <si>
    <t>IT</t>
  </si>
  <si>
    <t>insurance=salry+bonus-tax*1.5%</t>
  </si>
  <si>
    <t>Ahmed</t>
  </si>
  <si>
    <t>Zayed</t>
  </si>
  <si>
    <t>01525832691</t>
  </si>
  <si>
    <t>HR</t>
  </si>
  <si>
    <t>taotal=salary+bonus-tax-ins</t>
  </si>
  <si>
    <t>Mona</t>
  </si>
  <si>
    <t>Dokki</t>
  </si>
  <si>
    <t>01145369872</t>
  </si>
  <si>
    <t>Hana</t>
  </si>
  <si>
    <t>01236098521</t>
  </si>
  <si>
    <t>DA</t>
  </si>
  <si>
    <t>Mostafa</t>
  </si>
  <si>
    <r>
      <t>6</t>
    </r>
    <r>
      <rPr>
        <vertAlign val="superscript"/>
        <sz val="11"/>
        <color theme="1"/>
        <rFont val="Calibri"/>
        <family val="2"/>
        <scheme val="minor"/>
      </rPr>
      <t xml:space="preserve">th </t>
    </r>
    <r>
      <rPr>
        <sz val="11"/>
        <color theme="1"/>
        <rFont val="Calibri"/>
        <family val="2"/>
        <scheme val="minor"/>
      </rPr>
      <t>of october</t>
    </r>
  </si>
  <si>
    <t>01032574136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</si>
</sst>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ج.م.‏-C01]"/>
  </numFmts>
  <fonts count="4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6">
    <dxf>
      <numFmt numFmtId="164" formatCode="#,##0.00\ [$ج.م.‏-C01]"/>
    </dxf>
    <dxf>
      <numFmt numFmtId="164" formatCode="#,##0.00\ [$ج.م.‏-C01]"/>
    </dxf>
    <dxf>
      <numFmt numFmtId="164" formatCode="#,##0.00\ [$ج.م.‏-C01]"/>
    </dxf>
    <dxf>
      <numFmt numFmtId="164" formatCode="#,##0.00\ [$ج.م.‏-C01]"/>
    </dxf>
    <dxf>
      <numFmt numFmtId="164" formatCode="#,##0.00\ [$ج.م.‏-C01]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34C4C3-8237-4096-90A1-FA8DEABA3366}" name="Yat_salary7" displayName="Yat_salary7" ref="A3:J8" totalsRowShown="0" headerRowCellStyle="Normal" dataCellStyle="Normal">
  <autoFilter ref="A3:J8" xr:uid="{8034C4C3-8237-4096-90A1-FA8DEABA3366}"/>
  <tableColumns count="10">
    <tableColumn id="1" xr3:uid="{CE597BCE-1871-4AC4-9CCD-2975B3C9AF56}" name="Name" dataCellStyle="Normal"/>
    <tableColumn id="2" xr3:uid="{2C66FAD9-C7C3-48D2-A775-31CF2CBA3484}" name="City" dataCellStyle="Normal"/>
    <tableColumn id="3" xr3:uid="{B26136E9-AEEB-4FA7-92D1-EBB815819CB4}" name="phone" dataDxfId="5" dataCellStyle="Normal"/>
    <tableColumn id="4" xr3:uid="{1C021D37-1FFF-4764-A476-460B7A821FC9}" name="Department" dataCellStyle="Normal"/>
    <tableColumn id="5" xr3:uid="{28202A38-6FF4-4793-B7C0-31F3C9B43664}" name="Date of hire" dataCellStyle="Normal"/>
    <tableColumn id="6" xr3:uid="{44A133C5-CF96-4198-8D49-1BB3411040E4}" name="salary" dataDxfId="4" dataCellStyle="Normal"/>
    <tableColumn id="7" xr3:uid="{2CE9634D-BA8D-4C78-9B7E-9925123D4F7E}" name="Bonus" dataDxfId="3" dataCellStyle="Normal">
      <calculatedColumnFormula>Yat_salary7[[#This Row],[salary]]*2%</calculatedColumnFormula>
    </tableColumn>
    <tableColumn id="8" xr3:uid="{2809DAE2-FA0C-4B25-A800-8DD01C8BB9C8}" name="tax" dataDxfId="2" dataCellStyle="Normal">
      <calculatedColumnFormula>((Yat_salary7[[#This Row],[salary]]+Yat_salary7[[#This Row],[Bonus]])/2)*0.01</calculatedColumnFormula>
    </tableColumn>
    <tableColumn id="9" xr3:uid="{4630D0A4-0BC6-48A8-991E-6594C675BB5C}" name="ins" dataDxfId="1" dataCellStyle="Normal">
      <calculatedColumnFormula>(Yat_salary7[[#This Row],[salary]]+Yat_salary7[[#This Row],[Bonus]]-Yat_salary7[[#This Row],[tax]])*1.5%</calculatedColumnFormula>
    </tableColumn>
    <tableColumn id="10" xr3:uid="{F676CDEC-CC0D-44E2-ACB6-48BC5E731AF2}" name="total" dataDxfId="0" dataCellStyle="Normal">
      <calculatedColumnFormula>Yat_salary7[[#This Row],[salary]]+Yat_salary7[[#This Row],[Bonus]]-Yat_salary7[[#This Row],[tax]]-Yat_salary7[[#This Row],[ins]]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L11" sqref="L11"/>
    </sheetView>
  </sheetViews>
  <sheetFormatPr defaultRowHeight="14.45"/>
  <cols>
    <col min="1" max="1" width="10.28515625" bestFit="1" customWidth="1"/>
    <col min="2" max="3" width="11.85546875" bestFit="1" customWidth="1"/>
    <col min="4" max="4" width="15.5703125" bestFit="1" customWidth="1"/>
    <col min="5" max="5" width="17.42578125" bestFit="1" customWidth="1"/>
    <col min="6" max="6" width="13.7109375" bestFit="1" customWidth="1"/>
    <col min="7" max="8" width="11.140625" bestFit="1" customWidth="1"/>
    <col min="9" max="9" width="10.140625" bestFit="1" customWidth="1"/>
    <col min="10" max="10" width="13.7109375" bestFit="1" customWidth="1"/>
    <col min="12" max="12" width="28.5703125" bestFit="1" customWidth="1"/>
  </cols>
  <sheetData>
    <row r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2">
      <c r="L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L3" t="s">
        <v>12</v>
      </c>
    </row>
    <row r="4" spans="1:12">
      <c r="A4" t="s">
        <v>13</v>
      </c>
      <c r="B4" t="s">
        <v>14</v>
      </c>
      <c r="C4" s="1" t="s">
        <v>15</v>
      </c>
      <c r="D4" t="s">
        <v>16</v>
      </c>
      <c r="E4">
        <v>37433</v>
      </c>
      <c r="F4" s="2">
        <v>10000</v>
      </c>
      <c r="G4" s="2">
        <f>Yat_salary7[[#This Row],[salary]]*2%</f>
        <v>200</v>
      </c>
      <c r="H4" s="2">
        <f>((Yat_salary7[[#This Row],[salary]]+Yat_salary7[[#This Row],[Bonus]])/2)*0.01</f>
        <v>51</v>
      </c>
      <c r="I4" s="2">
        <f>(Yat_salary7[[#This Row],[salary]]+Yat_salary7[[#This Row],[Bonus]]-Yat_salary7[[#This Row],[tax]])*1.5%</f>
        <v>152.23499999999999</v>
      </c>
      <c r="J4" s="2">
        <f>Yat_salary7[[#This Row],[salary]]+Yat_salary7[[#This Row],[Bonus]]-Yat_salary7[[#This Row],[tax]]-Yat_salary7[[#This Row],[ins]]</f>
        <v>9996.7649999999994</v>
      </c>
      <c r="L4" t="s">
        <v>17</v>
      </c>
    </row>
    <row r="5" spans="1:12">
      <c r="A5" t="s">
        <v>18</v>
      </c>
      <c r="B5" t="s">
        <v>19</v>
      </c>
      <c r="C5" s="1" t="s">
        <v>20</v>
      </c>
      <c r="D5" t="s">
        <v>21</v>
      </c>
      <c r="E5">
        <v>41141</v>
      </c>
      <c r="F5" s="2">
        <v>8000</v>
      </c>
      <c r="G5" s="2">
        <f>Yat_salary7[[#This Row],[salary]]*2%</f>
        <v>160</v>
      </c>
      <c r="H5" s="2">
        <f>((Yat_salary7[[#This Row],[salary]]+Yat_salary7[[#This Row],[Bonus]])/2)*0.01</f>
        <v>40.800000000000004</v>
      </c>
      <c r="I5" s="2">
        <f>(Yat_salary7[[#This Row],[salary]]+Yat_salary7[[#This Row],[Bonus]]-Yat_salary7[[#This Row],[tax]])*1.5%</f>
        <v>121.788</v>
      </c>
      <c r="J5" s="2">
        <f>Yat_salary7[[#This Row],[salary]]+Yat_salary7[[#This Row],[Bonus]]-Yat_salary7[[#This Row],[tax]]-Yat_salary7[[#This Row],[ins]]</f>
        <v>7997.4120000000003</v>
      </c>
      <c r="L5" t="s">
        <v>22</v>
      </c>
    </row>
    <row r="6" spans="1:12">
      <c r="A6" t="s">
        <v>23</v>
      </c>
      <c r="B6" t="s">
        <v>24</v>
      </c>
      <c r="C6" s="1" t="s">
        <v>25</v>
      </c>
      <c r="D6" t="s">
        <v>16</v>
      </c>
      <c r="E6">
        <v>44102</v>
      </c>
      <c r="F6" s="2">
        <v>12000</v>
      </c>
      <c r="G6" s="2">
        <f>Yat_salary7[[#This Row],[salary]]*2%</f>
        <v>240</v>
      </c>
      <c r="H6" s="2">
        <f>((Yat_salary7[[#This Row],[salary]]+Yat_salary7[[#This Row],[Bonus]])/2)*0.01</f>
        <v>61.2</v>
      </c>
      <c r="I6" s="2">
        <f>(Yat_salary7[[#This Row],[salary]]+Yat_salary7[[#This Row],[Bonus]]-Yat_salary7[[#This Row],[tax]])*1.5%</f>
        <v>182.68199999999999</v>
      </c>
      <c r="J6" s="2">
        <f>Yat_salary7[[#This Row],[salary]]+Yat_salary7[[#This Row],[Bonus]]-Yat_salary7[[#This Row],[tax]]-Yat_salary7[[#This Row],[ins]]</f>
        <v>11996.117999999999</v>
      </c>
    </row>
    <row r="7" spans="1:12">
      <c r="A7" t="s">
        <v>26</v>
      </c>
      <c r="B7" t="s">
        <v>14</v>
      </c>
      <c r="C7" s="1" t="s">
        <v>27</v>
      </c>
      <c r="D7" t="s">
        <v>28</v>
      </c>
      <c r="E7">
        <v>45311</v>
      </c>
      <c r="F7" s="2">
        <v>10000</v>
      </c>
      <c r="G7" s="2">
        <f>Yat_salary7[[#This Row],[salary]]*2%</f>
        <v>200</v>
      </c>
      <c r="H7" s="2">
        <f>((Yat_salary7[[#This Row],[salary]]+Yat_salary7[[#This Row],[Bonus]])/2)*0.01</f>
        <v>51</v>
      </c>
      <c r="I7" s="2">
        <f>(Yat_salary7[[#This Row],[salary]]+Yat_salary7[[#This Row],[Bonus]]-Yat_salary7[[#This Row],[tax]])*1.5%</f>
        <v>152.23499999999999</v>
      </c>
      <c r="J7" s="2">
        <f>Yat_salary7[[#This Row],[salary]]+Yat_salary7[[#This Row],[Bonus]]-Yat_salary7[[#This Row],[tax]]-Yat_salary7[[#This Row],[ins]]</f>
        <v>9996.7649999999994</v>
      </c>
    </row>
    <row r="8" spans="1:12" ht="16.5">
      <c r="A8" t="s">
        <v>29</v>
      </c>
      <c r="B8" t="s">
        <v>30</v>
      </c>
      <c r="C8" s="1" t="s">
        <v>31</v>
      </c>
      <c r="D8" t="s">
        <v>28</v>
      </c>
      <c r="E8">
        <v>44042</v>
      </c>
      <c r="F8" s="2">
        <v>20000</v>
      </c>
      <c r="G8" s="2">
        <f>Yat_salary7[[#This Row],[salary]]*2%</f>
        <v>400</v>
      </c>
      <c r="H8" s="2">
        <f>((Yat_salary7[[#This Row],[salary]]+Yat_salary7[[#This Row],[Bonus]])/2)*0.01</f>
        <v>102</v>
      </c>
      <c r="I8" s="2">
        <f>(Yat_salary7[[#This Row],[salary]]+Yat_salary7[[#This Row],[Bonus]]-Yat_salary7[[#This Row],[tax]])*1.5%</f>
        <v>304.46999999999997</v>
      </c>
      <c r="J8" s="2">
        <f>Yat_salary7[[#This Row],[salary]]+Yat_salary7[[#This Row],[Bonus]]-Yat_salary7[[#This Row],[tax]]-Yat_salary7[[#This Row],[ins]]</f>
        <v>19993.53</v>
      </c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 Fathy</dc:creator>
  <cp:keywords/>
  <dc:description/>
  <cp:lastModifiedBy>Ahmed Fathy Kamal Mushrraf</cp:lastModifiedBy>
  <cp:revision/>
  <dcterms:created xsi:type="dcterms:W3CDTF">2015-06-05T18:17:20Z</dcterms:created>
  <dcterms:modified xsi:type="dcterms:W3CDTF">2025-12-21T12:43:33Z</dcterms:modified>
  <cp:category/>
  <cp:contentStatus/>
</cp:coreProperties>
</file>