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ocs.lighting.com/personal/eman_kamal_signify_com/Documents/Desktop/Ahmed Fathy/"/>
    </mc:Choice>
  </mc:AlternateContent>
  <xr:revisionPtr revIDLastSave="99" documentId="13_ncr:1_{18BDCE71-D546-441E-A12A-916E593799A2}" xr6:coauthVersionLast="47" xr6:coauthVersionMax="47" xr10:uidLastSave="{0E32FBF9-45B4-46D3-B1B4-F8F5090F8C73}"/>
  <bookViews>
    <workbookView xWindow="-110" yWindow="-110" windowWidth="19420" windowHeight="10300" xr2:uid="{00000000-000D-0000-FFFF-FFFF00000000}"/>
  </bookViews>
  <sheets>
    <sheet name="WEEK 4 S 2" sheetId="2" r:id="rId1"/>
  </sheets>
  <definedNames>
    <definedName name="_xlnm._FilterDatabase" localSheetId="0" hidden="1">'WEEK 4 S 2'!$A$3:$B$25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21" i="2"/>
  <c r="F20" i="2"/>
  <c r="F19" i="2"/>
  <c r="F17" i="2"/>
  <c r="F16" i="2"/>
  <c r="F15" i="2"/>
  <c r="F14" i="2"/>
  <c r="F13" i="2"/>
  <c r="G11" i="2"/>
  <c r="H11" i="2" s="1"/>
  <c r="G10" i="2"/>
  <c r="H10" i="2" s="1"/>
  <c r="G9" i="2"/>
  <c r="G8" i="2"/>
  <c r="H8" i="2" s="1"/>
  <c r="I8" i="2" s="1"/>
  <c r="J8" i="2" s="1"/>
  <c r="G7" i="2"/>
  <c r="G6" i="2"/>
  <c r="G5" i="2"/>
  <c r="H5" i="2" s="1"/>
  <c r="G4" i="2"/>
  <c r="H4" i="2" s="1"/>
  <c r="F23" i="2" l="1"/>
  <c r="F24" i="2" s="1"/>
  <c r="I5" i="2"/>
  <c r="J5" i="2" s="1"/>
  <c r="F18" i="2"/>
  <c r="G16" i="2"/>
  <c r="I11" i="2"/>
  <c r="J11" i="2" s="1"/>
  <c r="I4" i="2"/>
  <c r="I10" i="2"/>
  <c r="J10" i="2" s="1"/>
  <c r="G14" i="2"/>
  <c r="H7" i="2"/>
  <c r="I7" i="2" s="1"/>
  <c r="J7" i="2" s="1"/>
  <c r="G19" i="2"/>
  <c r="G21" i="2"/>
  <c r="G17" i="2"/>
  <c r="G22" i="2"/>
  <c r="G15" i="2"/>
  <c r="G20" i="2"/>
  <c r="H6" i="2"/>
  <c r="H9" i="2"/>
  <c r="I9" i="2" s="1"/>
  <c r="G13" i="2"/>
  <c r="F25" i="2" l="1"/>
  <c r="G18" i="2"/>
  <c r="H21" i="2"/>
  <c r="J9" i="2"/>
  <c r="H22" i="2"/>
  <c r="H13" i="2"/>
  <c r="H17" i="2"/>
  <c r="I6" i="2"/>
  <c r="I19" i="2" s="1"/>
  <c r="H19" i="2"/>
  <c r="H20" i="2"/>
  <c r="I13" i="2"/>
  <c r="I22" i="2"/>
  <c r="G23" i="2"/>
  <c r="G24" i="2" s="1"/>
  <c r="H14" i="2"/>
  <c r="J4" i="2"/>
  <c r="H15" i="2"/>
  <c r="H16" i="2"/>
  <c r="I20" i="2" l="1"/>
  <c r="I23" i="2" s="1"/>
  <c r="I25" i="2" s="1"/>
  <c r="I15" i="2"/>
  <c r="H18" i="2"/>
  <c r="J6" i="2"/>
  <c r="J15" i="2" s="1"/>
  <c r="I17" i="2"/>
  <c r="I21" i="2"/>
  <c r="I14" i="2"/>
  <c r="H23" i="2"/>
  <c r="H25" i="2" s="1"/>
  <c r="G25" i="2"/>
  <c r="I16" i="2"/>
  <c r="J13" i="2"/>
  <c r="J20" i="2"/>
  <c r="J16" i="2" l="1"/>
  <c r="J18" i="2" s="1"/>
  <c r="I18" i="2"/>
  <c r="J21" i="2"/>
  <c r="J14" i="2"/>
  <c r="J17" i="2"/>
  <c r="J22" i="2"/>
  <c r="J19" i="2"/>
  <c r="H24" i="2"/>
  <c r="J23" i="2"/>
  <c r="J25" i="2" s="1"/>
  <c r="I24" i="2"/>
  <c r="J24" i="2" l="1"/>
</calcChain>
</file>

<file path=xl/sharedStrings.xml><?xml version="1.0" encoding="utf-8"?>
<sst xmlns="http://schemas.openxmlformats.org/spreadsheetml/2006/main" count="61" uniqueCount="53">
  <si>
    <t>Bonus=salary *2%</t>
  </si>
  <si>
    <t>Name</t>
  </si>
  <si>
    <t>Tax=salary+bouns/2*0.01</t>
  </si>
  <si>
    <t>Ali</t>
  </si>
  <si>
    <t>01006547894</t>
  </si>
  <si>
    <t>IT</t>
  </si>
  <si>
    <t>insurance=salry+bonus-tax*1.5%</t>
  </si>
  <si>
    <t>Ahmed</t>
  </si>
  <si>
    <t>Zayed</t>
  </si>
  <si>
    <t>01525832691</t>
  </si>
  <si>
    <t>HR</t>
  </si>
  <si>
    <t>taotal=salary+bonus-tax-ins</t>
  </si>
  <si>
    <t>Mona</t>
  </si>
  <si>
    <t>Dokki</t>
  </si>
  <si>
    <t>01145369872</t>
  </si>
  <si>
    <t>Hana</t>
  </si>
  <si>
    <t>01236098521</t>
  </si>
  <si>
    <t>DA</t>
  </si>
  <si>
    <t>Mostafa</t>
  </si>
  <si>
    <t>01032574136</t>
  </si>
  <si>
    <t>CITY</t>
  </si>
  <si>
    <t>PHONE</t>
  </si>
  <si>
    <t>DEPARTMENT</t>
  </si>
  <si>
    <t>DATE OF HIRE</t>
  </si>
  <si>
    <t>SALARY</t>
  </si>
  <si>
    <t>BOUNS</t>
  </si>
  <si>
    <t>TAX</t>
  </si>
  <si>
    <t>INSURANCE</t>
  </si>
  <si>
    <t xml:space="preserve">TOTAL </t>
  </si>
  <si>
    <t>01006547897</t>
  </si>
  <si>
    <t>01006547896</t>
  </si>
  <si>
    <t>01006547895</t>
  </si>
  <si>
    <t>Total</t>
  </si>
  <si>
    <t>SUM</t>
  </si>
  <si>
    <t>COUNT</t>
  </si>
  <si>
    <t>MIN</t>
  </si>
  <si>
    <t>MAX</t>
  </si>
  <si>
    <t>MEAN</t>
  </si>
  <si>
    <t>RANGE</t>
  </si>
  <si>
    <t>STD</t>
  </si>
  <si>
    <t>Q1</t>
  </si>
  <si>
    <t>Q3</t>
  </si>
  <si>
    <t>IQR</t>
  </si>
  <si>
    <t>LB</t>
  </si>
  <si>
    <t>UB</t>
  </si>
  <si>
    <t xml:space="preserve">YAT </t>
  </si>
  <si>
    <t>Maged</t>
  </si>
  <si>
    <t>Alaa</t>
  </si>
  <si>
    <t>Ramy Adel</t>
  </si>
  <si>
    <t>Maadi</t>
  </si>
  <si>
    <t>Dayed</t>
  </si>
  <si>
    <t>6th Of October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</si>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</sst>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409]mmmm\ d\,\ yyyy;@"/>
    <numFmt numFmtId="166" formatCode="&quot;$&quot;#,##0.00"/>
    <numFmt numFmtId="172" formatCode="000\-00\-0000"/>
    <numFmt numFmtId="177" formatCode="#,##0.00\ [$ج.م.‏-C01];[Red]\-#,##0.00\ [$ج.م.‏-C01]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3" fillId="2" borderId="1" xfId="1" applyFont="1" applyBorder="1"/>
    <xf numFmtId="0" fontId="1" fillId="2" borderId="1" xfId="1" applyFont="1" applyBorder="1"/>
    <xf numFmtId="165" fontId="1" fillId="2" borderId="1" xfId="1" applyNumberFormat="1" applyFont="1" applyBorder="1"/>
    <xf numFmtId="172" fontId="1" fillId="2" borderId="1" xfId="1" applyNumberFormat="1" applyFont="1" applyBorder="1" applyAlignment="1">
      <alignment shrinkToFit="1"/>
    </xf>
    <xf numFmtId="0" fontId="3" fillId="2" borderId="1" xfId="1" applyFont="1" applyFill="1" applyBorder="1"/>
    <xf numFmtId="2" fontId="3" fillId="2" borderId="1" xfId="1" applyNumberFormat="1" applyFont="1" applyBorder="1"/>
    <xf numFmtId="165" fontId="3" fillId="2" borderId="1" xfId="1" applyNumberFormat="1" applyFont="1" applyBorder="1" applyAlignment="1"/>
    <xf numFmtId="166" fontId="3" fillId="2" borderId="1" xfId="1" applyNumberFormat="1" applyFont="1" applyBorder="1"/>
    <xf numFmtId="49" fontId="1" fillId="2" borderId="1" xfId="1" applyNumberFormat="1" applyFont="1" applyBorder="1"/>
    <xf numFmtId="0" fontId="0" fillId="3" borderId="1" xfId="0" applyFill="1" applyBorder="1" applyAlignment="1">
      <alignment horizontal="center" vertical="center"/>
    </xf>
    <xf numFmtId="177" fontId="1" fillId="2" borderId="1" xfId="1" applyNumberFormat="1" applyFont="1" applyBorder="1"/>
  </cellXfs>
  <cellStyles count="2">
    <cellStyle name="Good" xfId="1" builtinId="26"/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#,##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mmmm\ d\,\ yyyy;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C6A68-2A9E-49F9-A83E-9AA52DC9CC2A}" name="Table1" displayName="Table1" ref="C3:J13" totalsRowCount="1" headerRowDxfId="6" dataDxfId="18" totalsRowDxfId="5" headerRowBorderDxfId="20" tableBorderDxfId="21" totalsRowBorderDxfId="19" headerRowCellStyle="Good" dataCellStyle="Good" totalsRowCellStyle="Good">
  <autoFilter ref="C3:J12" xr:uid="{E34C6A68-2A9E-49F9-A83E-9AA52DC9CC2A}"/>
  <tableColumns count="8">
    <tableColumn id="1" xr3:uid="{6AFFE926-EE0A-4D2A-94CD-D3990C505C3D}" name="PHONE" dataDxfId="17" totalsRowDxfId="16" dataCellStyle="Good" totalsRowCellStyle="Good"/>
    <tableColumn id="2" xr3:uid="{1132A6EC-950A-4630-A08A-1B68FF88A6B2}" name="DEPARTMENT" dataDxfId="15" totalsRowDxfId="14" dataCellStyle="Good" totalsRowCellStyle="Good"/>
    <tableColumn id="3" xr3:uid="{BAC81B3C-A331-4AE6-A53A-C700659910B7}" name="DATE OF HIRE" dataDxfId="13" totalsRowDxfId="12" dataCellStyle="Good" totalsRowCellStyle="Good"/>
    <tableColumn id="4" xr3:uid="{E4D3DA4C-A284-4E93-879E-B4B48502928B}" name="SALARY" totalsRowFunction="sum" dataDxfId="4" totalsRowDxfId="11" dataCellStyle="Good" totalsRowCellStyle="Good"/>
    <tableColumn id="5" xr3:uid="{C66ED6F3-3579-44A3-B7CF-3F24B5E5C094}" name="BOUNS" totalsRowFunction="sum" dataDxfId="3" totalsRowDxfId="10" dataCellStyle="Good" totalsRowCellStyle="Good"/>
    <tableColumn id="6" xr3:uid="{D8F0226A-F384-41AF-9E85-CD8E94345AA5}" name="TAX" totalsRowFunction="sum" dataDxfId="2" totalsRowDxfId="9" dataCellStyle="Good" totalsRowCellStyle="Good"/>
    <tableColumn id="7" xr3:uid="{721311D7-346B-4A10-AA9F-E7D804B3B78C}" name="INSURANCE" totalsRowFunction="sum" dataDxfId="1" totalsRowDxfId="8" dataCellStyle="Good" totalsRowCellStyle="Good"/>
    <tableColumn id="8" xr3:uid="{4F7D55AC-A5DE-46E4-8D8C-0F7E58015894}" name="TOTAL " totalsRowFunction="sum" dataDxfId="0" totalsRowDxfId="7" dataCellStyle="Good" totalsRowCellStyle="Good">
      <calculatedColumnFormula>Table1[[#This Row],[SALARY]]+Table1[[#This Row],[BOUNS]]-Table1[[#This Row],[TAX]]-Table1[[#This Row],[INSURANCE]]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3381-A65D-48AA-AB6A-C22C6B451FC7}">
  <dimension ref="A1:M25"/>
  <sheetViews>
    <sheetView tabSelected="1" topLeftCell="C1" workbookViewId="0">
      <selection activeCell="M23" sqref="M23"/>
    </sheetView>
  </sheetViews>
  <sheetFormatPr defaultRowHeight="14.5" x14ac:dyDescent="0.35"/>
  <cols>
    <col min="1" max="1" width="9.6328125" bestFit="1" customWidth="1"/>
    <col min="2" max="2" width="13.26953125" bestFit="1" customWidth="1"/>
    <col min="3" max="3" width="11.81640625" bestFit="1" customWidth="1"/>
    <col min="4" max="4" width="14.7265625" bestFit="1" customWidth="1"/>
    <col min="5" max="5" width="17.453125" bestFit="1" customWidth="1"/>
    <col min="6" max="6" width="15" bestFit="1" customWidth="1"/>
    <col min="7" max="7" width="13" bestFit="1" customWidth="1"/>
    <col min="8" max="8" width="11.36328125" bestFit="1" customWidth="1"/>
    <col min="9" max="9" width="13" bestFit="1" customWidth="1"/>
    <col min="10" max="10" width="15" bestFit="1" customWidth="1"/>
    <col min="13" max="13" width="28.54296875" bestFit="1" customWidth="1"/>
  </cols>
  <sheetData>
    <row r="1" spans="1:13" x14ac:dyDescent="0.35">
      <c r="A1" s="10" t="s">
        <v>45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3" x14ac:dyDescent="0.35">
      <c r="A3" s="5" t="s">
        <v>1</v>
      </c>
      <c r="B3" s="5" t="s">
        <v>20</v>
      </c>
      <c r="C3" s="6" t="s">
        <v>21</v>
      </c>
      <c r="D3" s="1" t="s">
        <v>22</v>
      </c>
      <c r="E3" s="7" t="s">
        <v>23</v>
      </c>
      <c r="F3" s="8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3" x14ac:dyDescent="0.35">
      <c r="A4" s="1" t="s">
        <v>3</v>
      </c>
      <c r="B4" s="2" t="s">
        <v>49</v>
      </c>
      <c r="C4" s="9" t="s">
        <v>4</v>
      </c>
      <c r="D4" s="2" t="s">
        <v>5</v>
      </c>
      <c r="E4" s="3">
        <v>45834</v>
      </c>
      <c r="F4" s="11">
        <v>10000</v>
      </c>
      <c r="G4" s="11">
        <f>F4*2%</f>
        <v>200</v>
      </c>
      <c r="H4" s="11">
        <f>((Table1[[#This Row],[SALARY]]+Table1[[#This Row],[BOUNS]])/2*0.01)</f>
        <v>51</v>
      </c>
      <c r="I4" s="11">
        <f t="shared" ref="I4:I11" si="0">(F4+G4-H4)*1.5%</f>
        <v>152.23499999999999</v>
      </c>
      <c r="J4" s="11">
        <f>Table1[[#This Row],[SALARY]]+Table1[[#This Row],[BOUNS]]-Table1[[#This Row],[TAX]]-Table1[[#This Row],[INSURANCE]]</f>
        <v>9996.7649999999994</v>
      </c>
      <c r="M4" t="s">
        <v>0</v>
      </c>
    </row>
    <row r="5" spans="1:13" x14ac:dyDescent="0.35">
      <c r="A5" s="1" t="s">
        <v>15</v>
      </c>
      <c r="B5" s="2" t="s">
        <v>49</v>
      </c>
      <c r="C5" s="9" t="s">
        <v>16</v>
      </c>
      <c r="D5" s="2" t="s">
        <v>17</v>
      </c>
      <c r="E5" s="3">
        <v>45677</v>
      </c>
      <c r="F5" s="11">
        <v>9000</v>
      </c>
      <c r="G5" s="11">
        <f t="shared" ref="G5:G11" si="1">F5*2%</f>
        <v>180</v>
      </c>
      <c r="H5" s="11">
        <f>((Table1[[#This Row],[SALARY]]+Table1[[#This Row],[BOUNS]])/2*0.01)</f>
        <v>45.9</v>
      </c>
      <c r="I5" s="11">
        <f t="shared" si="0"/>
        <v>137.01150000000001</v>
      </c>
      <c r="J5" s="11">
        <f>Table1[[#This Row],[SALARY]]+Table1[[#This Row],[BOUNS]]-Table1[[#This Row],[TAX]]-Table1[[#This Row],[INSURANCE]]</f>
        <v>8997.0884999999998</v>
      </c>
      <c r="M5" t="s">
        <v>2</v>
      </c>
    </row>
    <row r="6" spans="1:13" x14ac:dyDescent="0.35">
      <c r="A6" s="1" t="s">
        <v>46</v>
      </c>
      <c r="B6" s="2" t="s">
        <v>49</v>
      </c>
      <c r="C6" s="9" t="s">
        <v>29</v>
      </c>
      <c r="D6" s="2" t="s">
        <v>5</v>
      </c>
      <c r="E6" s="3">
        <v>44849</v>
      </c>
      <c r="F6" s="11">
        <v>12000</v>
      </c>
      <c r="G6" s="11">
        <f t="shared" si="1"/>
        <v>240</v>
      </c>
      <c r="H6" s="11">
        <f>((Table1[[#This Row],[SALARY]]+Table1[[#This Row],[BOUNS]])/2*0.01)</f>
        <v>61.2</v>
      </c>
      <c r="I6" s="11">
        <f t="shared" si="0"/>
        <v>182.68199999999999</v>
      </c>
      <c r="J6" s="11">
        <f>Table1[[#This Row],[SALARY]]+Table1[[#This Row],[BOUNS]]-Table1[[#This Row],[TAX]]-Table1[[#This Row],[INSURANCE]]</f>
        <v>11996.117999999999</v>
      </c>
      <c r="M6" t="s">
        <v>6</v>
      </c>
    </row>
    <row r="7" spans="1:13" x14ac:dyDescent="0.35">
      <c r="A7" s="1" t="s">
        <v>47</v>
      </c>
      <c r="B7" s="2" t="s">
        <v>8</v>
      </c>
      <c r="C7" s="9" t="s">
        <v>30</v>
      </c>
      <c r="D7" s="2" t="s">
        <v>17</v>
      </c>
      <c r="E7" s="3">
        <v>44776</v>
      </c>
      <c r="F7" s="11">
        <v>25000</v>
      </c>
      <c r="G7" s="11">
        <f t="shared" si="1"/>
        <v>500</v>
      </c>
      <c r="H7" s="11">
        <f>((Table1[[#This Row],[SALARY]]+Table1[[#This Row],[BOUNS]])/2*0.01)</f>
        <v>127.5</v>
      </c>
      <c r="I7" s="11">
        <f t="shared" si="0"/>
        <v>380.58749999999998</v>
      </c>
      <c r="J7" s="11">
        <f>Table1[[#This Row],[SALARY]]+Table1[[#This Row],[BOUNS]]-Table1[[#This Row],[TAX]]-Table1[[#This Row],[INSURANCE]]</f>
        <v>24991.912499999999</v>
      </c>
      <c r="M7" t="s">
        <v>11</v>
      </c>
    </row>
    <row r="8" spans="1:13" x14ac:dyDescent="0.35">
      <c r="A8" s="1" t="s">
        <v>12</v>
      </c>
      <c r="B8" s="2" t="s">
        <v>13</v>
      </c>
      <c r="C8" s="9" t="s">
        <v>14</v>
      </c>
      <c r="D8" s="2" t="s">
        <v>5</v>
      </c>
      <c r="E8" s="3">
        <v>44467</v>
      </c>
      <c r="F8" s="11">
        <v>10000</v>
      </c>
      <c r="G8" s="11">
        <f t="shared" si="1"/>
        <v>200</v>
      </c>
      <c r="H8" s="11">
        <f>((Table1[[#This Row],[SALARY]]+Table1[[#This Row],[BOUNS]])/2*0.01)</f>
        <v>51</v>
      </c>
      <c r="I8" s="11">
        <f t="shared" si="0"/>
        <v>152.23499999999999</v>
      </c>
      <c r="J8" s="11">
        <f>Table1[[#This Row],[SALARY]]+Table1[[#This Row],[BOUNS]]-Table1[[#This Row],[TAX]]-Table1[[#This Row],[INSURANCE]]</f>
        <v>9996.7649999999994</v>
      </c>
    </row>
    <row r="9" spans="1:13" x14ac:dyDescent="0.35">
      <c r="A9" s="1" t="s">
        <v>7</v>
      </c>
      <c r="B9" s="2" t="s">
        <v>50</v>
      </c>
      <c r="C9" s="9" t="s">
        <v>9</v>
      </c>
      <c r="D9" s="2" t="s">
        <v>10</v>
      </c>
      <c r="E9" s="3">
        <v>44428</v>
      </c>
      <c r="F9" s="11">
        <v>8000</v>
      </c>
      <c r="G9" s="11">
        <f t="shared" si="1"/>
        <v>160</v>
      </c>
      <c r="H9" s="11">
        <f>((Table1[[#This Row],[SALARY]]+Table1[[#This Row],[BOUNS]])/2*0.01)</f>
        <v>40.800000000000004</v>
      </c>
      <c r="I9" s="11">
        <f t="shared" si="0"/>
        <v>121.788</v>
      </c>
      <c r="J9" s="11">
        <f>Table1[[#This Row],[SALARY]]+Table1[[#This Row],[BOUNS]]-Table1[[#This Row],[TAX]]-Table1[[#This Row],[INSURANCE]]</f>
        <v>7997.4120000000003</v>
      </c>
    </row>
    <row r="10" spans="1:13" x14ac:dyDescent="0.35">
      <c r="A10" s="1" t="s">
        <v>18</v>
      </c>
      <c r="B10" s="4" t="s">
        <v>51</v>
      </c>
      <c r="C10" s="9" t="s">
        <v>19</v>
      </c>
      <c r="D10" s="2" t="s">
        <v>17</v>
      </c>
      <c r="E10" s="3">
        <v>44407</v>
      </c>
      <c r="F10" s="11">
        <v>20000</v>
      </c>
      <c r="G10" s="11">
        <f t="shared" si="1"/>
        <v>400</v>
      </c>
      <c r="H10" s="11">
        <f>((Table1[[#This Row],[SALARY]]+Table1[[#This Row],[BOUNS]])/2*0.01)</f>
        <v>102</v>
      </c>
      <c r="I10" s="11">
        <f t="shared" si="0"/>
        <v>304.46999999999997</v>
      </c>
      <c r="J10" s="11">
        <f>Table1[[#This Row],[SALARY]]+Table1[[#This Row],[BOUNS]]-Table1[[#This Row],[TAX]]-Table1[[#This Row],[INSURANCE]]</f>
        <v>19993.53</v>
      </c>
    </row>
    <row r="11" spans="1:13" x14ac:dyDescent="0.35">
      <c r="A11" s="1" t="s">
        <v>48</v>
      </c>
      <c r="B11" s="2" t="s">
        <v>13</v>
      </c>
      <c r="C11" s="9" t="s">
        <v>31</v>
      </c>
      <c r="D11" s="2" t="s">
        <v>10</v>
      </c>
      <c r="E11" s="3">
        <v>43926</v>
      </c>
      <c r="F11" s="11">
        <v>20000</v>
      </c>
      <c r="G11" s="11">
        <f t="shared" si="1"/>
        <v>400</v>
      </c>
      <c r="H11" s="11">
        <f>((Table1[[#This Row],[SALARY]]+Table1[[#This Row],[BOUNS]])/2*0.01)</f>
        <v>102</v>
      </c>
      <c r="I11" s="11">
        <f t="shared" si="0"/>
        <v>304.46999999999997</v>
      </c>
      <c r="J11" s="11">
        <f>Table1[[#This Row],[SALARY]]+Table1[[#This Row],[BOUNS]]-Table1[[#This Row],[TAX]]-Table1[[#This Row],[INSURANCE]]</f>
        <v>19993.53</v>
      </c>
    </row>
    <row r="12" spans="1:13" x14ac:dyDescent="0.35">
      <c r="A12" s="1" t="s">
        <v>32</v>
      </c>
      <c r="B12" s="2"/>
      <c r="C12" s="2"/>
      <c r="D12" s="2"/>
      <c r="E12" s="2"/>
      <c r="F12" s="11"/>
      <c r="G12" s="11"/>
      <c r="H12" s="11"/>
      <c r="I12" s="11"/>
      <c r="J12" s="11"/>
    </row>
    <row r="13" spans="1:13" x14ac:dyDescent="0.35">
      <c r="A13" s="1" t="s">
        <v>33</v>
      </c>
      <c r="B13" s="2"/>
      <c r="C13" s="9"/>
      <c r="D13" s="2"/>
      <c r="E13" s="3"/>
      <c r="F13" s="11">
        <f>SUBTOTAL(109,Table1[SALARY])</f>
        <v>114000</v>
      </c>
      <c r="G13" s="11">
        <f>SUBTOTAL(109,Table1[BOUNS])</f>
        <v>2280</v>
      </c>
      <c r="H13" s="11">
        <f>SUBTOTAL(109,Table1[TAX])</f>
        <v>581.40000000000009</v>
      </c>
      <c r="I13" s="11">
        <f>SUBTOTAL(109,Table1[INSURANCE])</f>
        <v>1735.479</v>
      </c>
      <c r="J13" s="11">
        <f>SUBTOTAL(109,Table1[[TOTAL ]])</f>
        <v>113963.12099999998</v>
      </c>
    </row>
    <row r="14" spans="1:13" x14ac:dyDescent="0.35">
      <c r="A14" s="1" t="s">
        <v>34</v>
      </c>
      <c r="B14" s="2"/>
      <c r="C14" s="2"/>
      <c r="D14" s="2"/>
      <c r="E14" s="2"/>
      <c r="F14" s="11">
        <f>COUNT(F4:F11)</f>
        <v>8</v>
      </c>
      <c r="G14" s="11">
        <f t="shared" ref="G14:I14" si="2">COUNT(G4:G11)</f>
        <v>8</v>
      </c>
      <c r="H14" s="11">
        <f t="shared" si="2"/>
        <v>8</v>
      </c>
      <c r="I14" s="11">
        <f t="shared" si="2"/>
        <v>8</v>
      </c>
      <c r="J14" s="11">
        <f>COUNT(J4:J11)</f>
        <v>8</v>
      </c>
    </row>
    <row r="15" spans="1:13" x14ac:dyDescent="0.35">
      <c r="A15" s="1" t="s">
        <v>35</v>
      </c>
      <c r="B15" s="2"/>
      <c r="C15" s="2"/>
      <c r="D15" s="2"/>
      <c r="E15" s="2"/>
      <c r="F15" s="11">
        <f>MIN(F4:F11)</f>
        <v>8000</v>
      </c>
      <c r="G15" s="11">
        <f t="shared" ref="G15:J15" si="3">MIN(G4:G11)</f>
        <v>160</v>
      </c>
      <c r="H15" s="11">
        <f t="shared" si="3"/>
        <v>40.800000000000004</v>
      </c>
      <c r="I15" s="11">
        <f t="shared" si="3"/>
        <v>121.788</v>
      </c>
      <c r="J15" s="11">
        <f t="shared" si="3"/>
        <v>7997.4120000000003</v>
      </c>
    </row>
    <row r="16" spans="1:13" x14ac:dyDescent="0.35">
      <c r="A16" s="1" t="s">
        <v>36</v>
      </c>
      <c r="B16" s="2"/>
      <c r="C16" s="2"/>
      <c r="D16" s="2"/>
      <c r="E16" s="2"/>
      <c r="F16" s="11">
        <f>MAX(F4:F11)</f>
        <v>25000</v>
      </c>
      <c r="G16" s="11">
        <f t="shared" ref="G16:J16" si="4">MAX(G4:G11)</f>
        <v>500</v>
      </c>
      <c r="H16" s="11">
        <f t="shared" si="4"/>
        <v>127.5</v>
      </c>
      <c r="I16" s="11">
        <f t="shared" si="4"/>
        <v>380.58749999999998</v>
      </c>
      <c r="J16" s="11">
        <f t="shared" si="4"/>
        <v>24991.912499999999</v>
      </c>
    </row>
    <row r="17" spans="1:10" x14ac:dyDescent="0.35">
      <c r="A17" s="1" t="s">
        <v>37</v>
      </c>
      <c r="B17" s="2"/>
      <c r="C17" s="2"/>
      <c r="D17" s="2"/>
      <c r="E17" s="2"/>
      <c r="F17" s="11">
        <f>AVERAGE(F4:F11)</f>
        <v>14250</v>
      </c>
      <c r="G17" s="11">
        <f t="shared" ref="G17:J17" si="5">AVERAGE(G4:G11)</f>
        <v>285</v>
      </c>
      <c r="H17" s="11">
        <f t="shared" si="5"/>
        <v>72.675000000000011</v>
      </c>
      <c r="I17" s="11">
        <f t="shared" si="5"/>
        <v>216.93487500000001</v>
      </c>
      <c r="J17" s="11">
        <f t="shared" si="5"/>
        <v>14245.390124999998</v>
      </c>
    </row>
    <row r="18" spans="1:10" x14ac:dyDescent="0.35">
      <c r="A18" s="1" t="s">
        <v>38</v>
      </c>
      <c r="B18" s="2"/>
      <c r="C18" s="2"/>
      <c r="D18" s="2"/>
      <c r="E18" s="2"/>
      <c r="F18" s="11">
        <f>F16-F15</f>
        <v>17000</v>
      </c>
      <c r="G18" s="11">
        <f t="shared" ref="G18:J18" si="6">G16-G15</f>
        <v>340</v>
      </c>
      <c r="H18" s="11">
        <f t="shared" si="6"/>
        <v>86.699999999999989</v>
      </c>
      <c r="I18" s="11">
        <f t="shared" si="6"/>
        <v>258.79949999999997</v>
      </c>
      <c r="J18" s="11">
        <f t="shared" si="6"/>
        <v>16994.500499999998</v>
      </c>
    </row>
    <row r="19" spans="1:10" x14ac:dyDescent="0.35">
      <c r="A19" s="1" t="s">
        <v>39</v>
      </c>
      <c r="B19" s="2"/>
      <c r="C19" s="2"/>
      <c r="D19" s="2"/>
      <c r="E19" s="2"/>
      <c r="F19" s="11">
        <f>_xlfn.STDEV.S(F4:F11)</f>
        <v>6430.9519401985008</v>
      </c>
      <c r="G19" s="11">
        <f t="shared" ref="G19:J19" si="7">_xlfn.STDEV.S(G4:G11)</f>
        <v>128.61903880397</v>
      </c>
      <c r="H19" s="11">
        <f t="shared" si="7"/>
        <v>32.797854895012328</v>
      </c>
      <c r="I19" s="11">
        <f t="shared" si="7"/>
        <v>97.901596861611793</v>
      </c>
      <c r="J19" s="11">
        <f t="shared" si="7"/>
        <v>6428.8715272458467</v>
      </c>
    </row>
    <row r="20" spans="1:10" x14ac:dyDescent="0.35">
      <c r="A20" s="1" t="s">
        <v>40</v>
      </c>
      <c r="B20" s="2"/>
      <c r="C20" s="2"/>
      <c r="D20" s="2"/>
      <c r="E20" s="2"/>
      <c r="F20" s="11">
        <f>QUARTILE(F4:F11,1)</f>
        <v>9750</v>
      </c>
      <c r="G20" s="11">
        <f t="shared" ref="G20:J20" si="8">QUARTILE(G4:G11,1)</f>
        <v>195</v>
      </c>
      <c r="H20" s="11">
        <f t="shared" si="8"/>
        <v>49.725000000000001</v>
      </c>
      <c r="I20" s="11">
        <f t="shared" si="8"/>
        <v>148.429125</v>
      </c>
      <c r="J20" s="11">
        <f t="shared" si="8"/>
        <v>9746.8458749999991</v>
      </c>
    </row>
    <row r="21" spans="1:10" x14ac:dyDescent="0.35">
      <c r="A21" s="1" t="s">
        <v>52</v>
      </c>
      <c r="B21" s="2"/>
      <c r="C21" s="2"/>
      <c r="D21" s="2"/>
      <c r="E21" s="2"/>
      <c r="F21" s="11">
        <f>QUARTILE(F4:F11,2)</f>
        <v>11000</v>
      </c>
      <c r="G21" s="11">
        <f t="shared" ref="G21:J21" si="9">QUARTILE(G4:G11,2)</f>
        <v>220</v>
      </c>
      <c r="H21" s="11">
        <f t="shared" si="9"/>
        <v>56.1</v>
      </c>
      <c r="I21" s="11">
        <f t="shared" si="9"/>
        <v>167.45849999999999</v>
      </c>
      <c r="J21" s="11">
        <f t="shared" si="9"/>
        <v>10996.441499999999</v>
      </c>
    </row>
    <row r="22" spans="1:10" x14ac:dyDescent="0.35">
      <c r="A22" s="1" t="s">
        <v>41</v>
      </c>
      <c r="B22" s="2"/>
      <c r="C22" s="2"/>
      <c r="D22" s="2"/>
      <c r="E22" s="2"/>
      <c r="F22" s="11">
        <f>QUARTILE(F4:F11,3)</f>
        <v>20000</v>
      </c>
      <c r="G22" s="11">
        <f t="shared" ref="G22:J22" si="10">QUARTILE(G4:G11,3)</f>
        <v>400</v>
      </c>
      <c r="H22" s="11">
        <f t="shared" si="10"/>
        <v>102</v>
      </c>
      <c r="I22" s="11">
        <f t="shared" si="10"/>
        <v>304.46999999999997</v>
      </c>
      <c r="J22" s="11">
        <f t="shared" si="10"/>
        <v>19993.53</v>
      </c>
    </row>
    <row r="23" spans="1:10" x14ac:dyDescent="0.35">
      <c r="A23" s="1" t="s">
        <v>42</v>
      </c>
      <c r="B23" s="2"/>
      <c r="C23" s="2"/>
      <c r="D23" s="2"/>
      <c r="E23" s="2"/>
      <c r="F23" s="11">
        <f>F22-F20</f>
        <v>10250</v>
      </c>
      <c r="G23" s="11">
        <f t="shared" ref="G23:J23" si="11">G22-G20</f>
        <v>205</v>
      </c>
      <c r="H23" s="11">
        <f t="shared" si="11"/>
        <v>52.274999999999999</v>
      </c>
      <c r="I23" s="11">
        <f t="shared" si="11"/>
        <v>156.04087499999997</v>
      </c>
      <c r="J23" s="11">
        <f t="shared" si="11"/>
        <v>10246.684125</v>
      </c>
    </row>
    <row r="24" spans="1:10" x14ac:dyDescent="0.35">
      <c r="A24" s="1" t="s">
        <v>43</v>
      </c>
      <c r="B24" s="2"/>
      <c r="C24" s="2"/>
      <c r="D24" s="2"/>
      <c r="E24" s="2"/>
      <c r="F24" s="11">
        <f>F20-1.5*F23</f>
        <v>-5625</v>
      </c>
      <c r="G24" s="11">
        <f t="shared" ref="G24:J24" si="12">G20-1.5*G23</f>
        <v>-112.5</v>
      </c>
      <c r="H24" s="11">
        <f t="shared" si="12"/>
        <v>-28.687499999999993</v>
      </c>
      <c r="I24" s="11">
        <f t="shared" si="12"/>
        <v>-85.632187499999958</v>
      </c>
      <c r="J24" s="11">
        <f t="shared" si="12"/>
        <v>-5623.1803125000006</v>
      </c>
    </row>
    <row r="25" spans="1:10" x14ac:dyDescent="0.35">
      <c r="A25" s="1" t="s">
        <v>44</v>
      </c>
      <c r="B25" s="2"/>
      <c r="C25" s="2"/>
      <c r="D25" s="2"/>
      <c r="E25" s="2"/>
      <c r="F25" s="11">
        <f>F22+F23*1.5</f>
        <v>35375</v>
      </c>
      <c r="G25" s="11">
        <f t="shared" ref="G25:J25" si="13">G22+G23*1.5</f>
        <v>707.5</v>
      </c>
      <c r="H25" s="11">
        <f t="shared" si="13"/>
        <v>180.41249999999999</v>
      </c>
      <c r="I25" s="11">
        <f t="shared" si="13"/>
        <v>538.5313124999999</v>
      </c>
      <c r="J25" s="11">
        <f t="shared" si="13"/>
        <v>35363.556187499998</v>
      </c>
    </row>
  </sheetData>
  <autoFilter ref="A3:B25" xr:uid="{21683381-A65D-48AA-AB6A-C22C6B451FC7}"/>
  <mergeCells count="1">
    <mergeCell ref="A1:J2"/>
  </mergeCells>
  <conditionalFormatting sqref="A3:J25 A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headerFooter>
    <oddHeader>&amp;L&amp;"Aptos"&amp;10&amp;K000000 Classified&amp;1#_x000D_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 S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Fathy</dc:creator>
  <cp:keywords/>
  <dc:description/>
  <cp:lastModifiedBy>Eman Kamal</cp:lastModifiedBy>
  <cp:revision/>
  <dcterms:created xsi:type="dcterms:W3CDTF">2015-06-05T18:17:20Z</dcterms:created>
  <dcterms:modified xsi:type="dcterms:W3CDTF">2026-01-22T22:08:08Z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2026-01-22T21:41:11Z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b6c21d8e-6488-4321-afd5-5a7b767b1838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